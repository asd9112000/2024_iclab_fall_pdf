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YCU\113_1\IC LAB\Lab11\"/>
    </mc:Choice>
  </mc:AlternateContent>
  <xr:revisionPtr revIDLastSave="0" documentId="13_ncr:1_{0F31CA00-A50C-4FEC-AF01-1ED58EEAE22E}" xr6:coauthVersionLast="47" xr6:coauthVersionMax="47" xr10:uidLastSave="{00000000-0000-0000-0000-000000000000}"/>
  <bookViews>
    <workbookView xWindow="-120" yWindow="-120" windowWidth="38640" windowHeight="21240" xr2:uid="{3A7BC9D4-31AD-4918-A171-F677DEC1115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" i="1" l="1"/>
  <c r="H24" i="1"/>
  <c r="H25" i="1"/>
  <c r="H26" i="1"/>
  <c r="H27" i="1"/>
  <c r="H28" i="1"/>
  <c r="H29" i="1"/>
  <c r="H30" i="1"/>
  <c r="H31" i="1"/>
  <c r="H32" i="1"/>
  <c r="H12" i="1"/>
  <c r="H13" i="1"/>
  <c r="H14" i="1"/>
  <c r="H15" i="1"/>
  <c r="H16" i="1"/>
  <c r="H17" i="1"/>
  <c r="H18" i="1"/>
  <c r="H19" i="1"/>
  <c r="H20" i="1"/>
  <c r="H21" i="1"/>
  <c r="H22" i="1"/>
  <c r="H10" i="1"/>
  <c r="F11" i="1"/>
  <c r="H3" i="1"/>
  <c r="H4" i="1"/>
  <c r="H5" i="1"/>
  <c r="H6" i="1"/>
  <c r="H7" i="1"/>
  <c r="H8" i="1"/>
  <c r="H9" i="1"/>
  <c r="H11" i="1"/>
  <c r="F2" i="1"/>
  <c r="H2" i="1" s="1"/>
</calcChain>
</file>

<file path=xl/sharedStrings.xml><?xml version="1.0" encoding="utf-8"?>
<sst xmlns="http://schemas.openxmlformats.org/spreadsheetml/2006/main" count="47" uniqueCount="41">
  <si>
    <t>CHIP AREA</t>
    <phoneticPr fontId="1" type="noConversion"/>
  </si>
  <si>
    <t>ckt</t>
    <phoneticPr fontId="1" type="noConversion"/>
  </si>
  <si>
    <t>lat</t>
    <phoneticPr fontId="1" type="noConversion"/>
  </si>
  <si>
    <t>14ns_0.6u</t>
  </si>
  <si>
    <t>Perf</t>
    <phoneticPr fontId="1" type="noConversion"/>
  </si>
  <si>
    <t>seed</t>
    <phoneticPr fontId="1" type="noConversion"/>
  </si>
  <si>
    <t>patnum</t>
    <phoneticPr fontId="1" type="noConversion"/>
  </si>
  <si>
    <t>total avg lat</t>
    <phoneticPr fontId="1" type="noConversion"/>
  </si>
  <si>
    <t xml:space="preserve">Total area of Standard cells: 1062085.147 um^2  </t>
  </si>
  <si>
    <t xml:space="preserve">Total area of Standard cells(Subtracting Physical Cells): 616388.674 um^2  </t>
  </si>
  <si>
    <t xml:space="preserve">Total area of Macros: 131533.248 um^2  </t>
  </si>
  <si>
    <t xml:space="preserve">Total area of Blockages: 0.000 um^2  </t>
  </si>
  <si>
    <t xml:space="preserve">Total area of Pad cells: 815403.118 um^2  </t>
  </si>
  <si>
    <t xml:space="preserve">Total area of Core: 1239483.168 um^2  </t>
  </si>
  <si>
    <t>10ns_0.6u_4s4s</t>
  </si>
  <si>
    <t xml:space="preserve">Total area of Standard cells: 1393001.467 um^2  </t>
  </si>
  <si>
    <t xml:space="preserve">Total area of Standard cells(Subtracting Physical Cells): 594786.931 um^2  </t>
  </si>
  <si>
    <t xml:space="preserve">Total area of Pad cells: 596219.007 um^2  </t>
  </si>
  <si>
    <t xml:space="preserve">Total area of Core: 1566674.726 um^2  </t>
  </si>
  <si>
    <t xml:space="preserve">Total area of Chip: 3008629.012 um^2  </t>
  </si>
  <si>
    <t xml:space="preserve">Effective Utilization: 1.2602e+00  </t>
  </si>
  <si>
    <t xml:space="preserve">Number of Cell Rows: 248  </t>
  </si>
  <si>
    <t xml:space="preserve">Effective Utilization: 1.2740e+00  </t>
  </si>
  <si>
    <t xml:space="preserve">Number of Cell Rows: 220  </t>
  </si>
  <si>
    <t xml:space="preserve">Total area of Chip: 2542314.241 um^2  </t>
    <phoneticPr fontId="1" type="noConversion"/>
  </si>
  <si>
    <t>12ns_0.6u</t>
    <phoneticPr fontId="1" type="noConversion"/>
  </si>
  <si>
    <t xml:space="preserve">Total area of Standard cells: 1294988.990 um^2  </t>
  </si>
  <si>
    <t xml:space="preserve">Total area of Standard cells(Subtracting Physical Cells): 623810.074 um^2  </t>
  </si>
  <si>
    <t xml:space="preserve">Total area of Pad cells: 871002.734 um^2  </t>
  </si>
  <si>
    <t xml:space="preserve">Total area of Core: 1469905.920 um^2  </t>
  </si>
  <si>
    <t xml:space="preserve">Total area of Chip: 2868070.003 um^2  </t>
  </si>
  <si>
    <t xml:space="preserve">Effective Utilization: 1.2588e+00  </t>
  </si>
  <si>
    <t xml:space="preserve">Number of Cell Rows: 240 </t>
  </si>
  <si>
    <t xml:space="preserve">Total area of Standard cells: 884609.006 um^2  </t>
  </si>
  <si>
    <t xml:space="preserve">Total area of Standard cells(Subtracting Physical Cells): 629119.109 um^2  </t>
  </si>
  <si>
    <t xml:space="preserve">Total area of Pad cells: 769012.189 um^2  </t>
  </si>
  <si>
    <t xml:space="preserve">Total area of Core: 1062007.027 um^2  </t>
  </si>
  <si>
    <t xml:space="preserve">Effective Utilization: 1.2690e+00  </t>
  </si>
  <si>
    <t xml:space="preserve">Number of Cell Rows: 204  </t>
  </si>
  <si>
    <t>10ns_0.7u</t>
    <phoneticPr fontId="1" type="noConversion"/>
  </si>
  <si>
    <t xml:space="preserve">Total area of Chip: 2285170.853 um^2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</si>
</sst>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48593-B936-490E-9C07-DD5102E0498B}">
  <dimension ref="B1:P40"/>
  <sheetViews>
    <sheetView tabSelected="1" workbookViewId="0">
      <selection activeCell="H32" sqref="H32"/>
    </sheetView>
  </sheetViews>
  <sheetFormatPr defaultRowHeight="16.5" x14ac:dyDescent="0.25"/>
  <cols>
    <col min="3" max="3" width="12.75" bestFit="1" customWidth="1"/>
    <col min="6" max="6" width="12.75" bestFit="1" customWidth="1"/>
    <col min="8" max="8" width="12.875" bestFit="1" customWidth="1"/>
  </cols>
  <sheetData>
    <row r="1" spans="2:16" x14ac:dyDescent="0.25">
      <c r="C1" t="s">
        <v>1</v>
      </c>
      <c r="D1" t="s">
        <v>6</v>
      </c>
      <c r="E1" t="s">
        <v>2</v>
      </c>
      <c r="F1" t="s">
        <v>7</v>
      </c>
      <c r="G1" t="s">
        <v>0</v>
      </c>
      <c r="H1" t="s">
        <v>4</v>
      </c>
      <c r="J1" t="s">
        <v>5</v>
      </c>
    </row>
    <row r="2" spans="2:16" x14ac:dyDescent="0.25">
      <c r="B2" s="1" t="s">
        <v>3</v>
      </c>
      <c r="C2" s="1">
        <v>14</v>
      </c>
      <c r="D2" s="1">
        <v>100</v>
      </c>
      <c r="E2" s="1">
        <v>93345</v>
      </c>
      <c r="F2" s="1">
        <f>C2*E2/D2</f>
        <v>13068.3</v>
      </c>
      <c r="G2" s="1">
        <v>3008629.0120000001</v>
      </c>
      <c r="H2" s="1">
        <f>F2*G2</f>
        <v>39317666517.5196</v>
      </c>
      <c r="I2" s="1"/>
      <c r="J2" s="1">
        <v>54845671</v>
      </c>
      <c r="K2" s="1" t="s">
        <v>15</v>
      </c>
      <c r="L2" s="1"/>
      <c r="M2" s="1"/>
      <c r="N2" s="1"/>
      <c r="O2" s="1"/>
      <c r="P2" s="1"/>
    </row>
    <row r="3" spans="2:16" x14ac:dyDescent="0.25">
      <c r="B3" s="1"/>
      <c r="C3" s="1"/>
      <c r="D3" s="1"/>
      <c r="E3" s="1"/>
      <c r="F3" s="1"/>
      <c r="G3" s="1"/>
      <c r="H3" s="1">
        <f t="shared" ref="H3:H11" si="0">F3*G3</f>
        <v>0</v>
      </c>
      <c r="I3" s="1"/>
      <c r="J3" s="1"/>
      <c r="K3" s="1" t="s">
        <v>16</v>
      </c>
      <c r="L3" s="1"/>
      <c r="M3" s="1"/>
      <c r="N3" s="1"/>
      <c r="O3" s="1"/>
      <c r="P3" s="1"/>
    </row>
    <row r="4" spans="2:16" x14ac:dyDescent="0.25">
      <c r="B4" s="1"/>
      <c r="C4" s="1"/>
      <c r="D4" s="1"/>
      <c r="E4" s="1"/>
      <c r="F4" s="1"/>
      <c r="G4" s="1"/>
      <c r="H4" s="1">
        <f t="shared" si="0"/>
        <v>0</v>
      </c>
      <c r="I4" s="1"/>
      <c r="J4" s="1"/>
      <c r="K4" s="1" t="s">
        <v>10</v>
      </c>
      <c r="L4" s="1"/>
      <c r="M4" s="1"/>
      <c r="N4" s="1"/>
      <c r="O4" s="1"/>
      <c r="P4" s="1"/>
    </row>
    <row r="5" spans="2:16" x14ac:dyDescent="0.25">
      <c r="B5" s="1"/>
      <c r="C5" s="1"/>
      <c r="D5" s="1"/>
      <c r="E5" s="1"/>
      <c r="F5" s="1"/>
      <c r="G5" s="1"/>
      <c r="H5" s="1">
        <f t="shared" si="0"/>
        <v>0</v>
      </c>
      <c r="I5" s="1"/>
      <c r="J5" s="1"/>
      <c r="K5" s="1" t="s">
        <v>11</v>
      </c>
      <c r="L5" s="1"/>
      <c r="M5" s="1"/>
      <c r="N5" s="1"/>
      <c r="O5" s="1"/>
      <c r="P5" s="1"/>
    </row>
    <row r="6" spans="2:16" x14ac:dyDescent="0.25">
      <c r="B6" s="1"/>
      <c r="C6" s="1"/>
      <c r="D6" s="1"/>
      <c r="E6" s="1"/>
      <c r="F6" s="1"/>
      <c r="G6" s="1"/>
      <c r="H6" s="1">
        <f t="shared" si="0"/>
        <v>0</v>
      </c>
      <c r="I6" s="1"/>
      <c r="J6" s="1"/>
      <c r="K6" s="1" t="s">
        <v>17</v>
      </c>
      <c r="L6" s="1"/>
      <c r="M6" s="1"/>
      <c r="N6" s="1"/>
      <c r="O6" s="1"/>
      <c r="P6" s="1"/>
    </row>
    <row r="7" spans="2:16" x14ac:dyDescent="0.25">
      <c r="B7" s="1"/>
      <c r="C7" s="1"/>
      <c r="D7" s="1"/>
      <c r="E7" s="1"/>
      <c r="F7" s="1"/>
      <c r="G7" s="1"/>
      <c r="H7" s="1">
        <f t="shared" si="0"/>
        <v>0</v>
      </c>
      <c r="I7" s="1"/>
      <c r="J7" s="1"/>
      <c r="K7" s="1" t="s">
        <v>18</v>
      </c>
      <c r="L7" s="1"/>
      <c r="M7" s="1"/>
      <c r="N7" s="1"/>
      <c r="O7" s="1"/>
      <c r="P7" s="1"/>
    </row>
    <row r="8" spans="2:16" x14ac:dyDescent="0.25">
      <c r="B8" s="1"/>
      <c r="C8" s="1"/>
      <c r="D8" s="1"/>
      <c r="E8" s="1"/>
      <c r="F8" s="1"/>
      <c r="G8" s="1"/>
      <c r="H8" s="1">
        <f t="shared" si="0"/>
        <v>0</v>
      </c>
      <c r="I8" s="1"/>
      <c r="J8" s="1"/>
      <c r="K8" s="1" t="s">
        <v>19</v>
      </c>
      <c r="L8" s="1"/>
      <c r="M8" s="1"/>
      <c r="N8" s="1"/>
      <c r="O8" s="1"/>
      <c r="P8" s="1"/>
    </row>
    <row r="9" spans="2:16" x14ac:dyDescent="0.25">
      <c r="B9" s="1"/>
      <c r="C9" s="1"/>
      <c r="D9" s="1"/>
      <c r="E9" s="1"/>
      <c r="F9" s="1"/>
      <c r="G9" s="1"/>
      <c r="H9" s="1">
        <f t="shared" si="0"/>
        <v>0</v>
      </c>
      <c r="I9" s="1"/>
      <c r="J9" s="1"/>
      <c r="K9" s="1" t="s">
        <v>20</v>
      </c>
      <c r="L9" s="1"/>
      <c r="M9" s="1"/>
      <c r="N9" s="1"/>
      <c r="O9" s="1"/>
      <c r="P9" s="1"/>
    </row>
    <row r="10" spans="2:16" x14ac:dyDescent="0.25">
      <c r="B10" s="1"/>
      <c r="C10" s="1"/>
      <c r="D10" s="1"/>
      <c r="E10" s="1"/>
      <c r="F10" s="1"/>
      <c r="G10" s="1"/>
      <c r="H10" s="1">
        <f t="shared" si="0"/>
        <v>0</v>
      </c>
      <c r="I10" s="1"/>
      <c r="J10" s="1"/>
      <c r="K10" s="1" t="s">
        <v>21</v>
      </c>
      <c r="L10" s="1"/>
      <c r="M10" s="1"/>
      <c r="N10" s="1"/>
      <c r="O10" s="1"/>
      <c r="P10" s="1"/>
    </row>
    <row r="11" spans="2:16" x14ac:dyDescent="0.25">
      <c r="B11" s="1" t="s">
        <v>14</v>
      </c>
      <c r="C11" s="1">
        <v>10</v>
      </c>
      <c r="D11" s="1">
        <v>100</v>
      </c>
      <c r="E11" s="1">
        <v>93345</v>
      </c>
      <c r="F11" s="1">
        <f t="shared" ref="F11" si="1">C11*E11/D11</f>
        <v>9334.5</v>
      </c>
      <c r="G11" s="1">
        <v>2542314.2409999999</v>
      </c>
      <c r="H11" s="1">
        <f t="shared" si="0"/>
        <v>23731232282.614498</v>
      </c>
      <c r="I11" s="1"/>
      <c r="J11" s="1"/>
      <c r="K11" s="1" t="s">
        <v>8</v>
      </c>
      <c r="L11" s="1"/>
      <c r="M11" s="1"/>
      <c r="N11" s="1"/>
      <c r="O11" s="1"/>
      <c r="P11" s="1"/>
    </row>
    <row r="12" spans="2:16" x14ac:dyDescent="0.25">
      <c r="B12" s="1"/>
      <c r="C12" s="1"/>
      <c r="D12" s="1"/>
      <c r="E12" s="1"/>
      <c r="F12" s="1"/>
      <c r="G12" s="1">
        <v>2542315.2409999999</v>
      </c>
      <c r="H12" s="1">
        <f t="shared" ref="H12:H32" si="2">F12*G12</f>
        <v>0</v>
      </c>
      <c r="I12" s="1"/>
      <c r="J12" s="1"/>
      <c r="K12" s="1" t="s">
        <v>9</v>
      </c>
      <c r="L12" s="1"/>
      <c r="M12" s="1"/>
      <c r="N12" s="1"/>
      <c r="O12" s="1"/>
      <c r="P12" s="1"/>
    </row>
    <row r="13" spans="2:16" x14ac:dyDescent="0.25">
      <c r="B13" s="1"/>
      <c r="C13" s="1"/>
      <c r="D13" s="1"/>
      <c r="E13" s="1"/>
      <c r="F13" s="1"/>
      <c r="G13" s="1">
        <v>2542316.2409999999</v>
      </c>
      <c r="H13" s="1">
        <f t="shared" si="2"/>
        <v>0</v>
      </c>
      <c r="I13" s="1"/>
      <c r="J13" s="1"/>
      <c r="K13" s="1" t="s">
        <v>10</v>
      </c>
      <c r="L13" s="1"/>
      <c r="M13" s="1"/>
      <c r="N13" s="1"/>
      <c r="O13" s="1"/>
      <c r="P13" s="1"/>
    </row>
    <row r="14" spans="2:16" x14ac:dyDescent="0.25">
      <c r="B14" s="1"/>
      <c r="C14" s="1"/>
      <c r="D14" s="1"/>
      <c r="E14" s="1"/>
      <c r="F14" s="1"/>
      <c r="G14" s="1">
        <v>2542317.2409999999</v>
      </c>
      <c r="H14" s="1">
        <f t="shared" si="2"/>
        <v>0</v>
      </c>
      <c r="I14" s="1"/>
      <c r="J14" s="1"/>
      <c r="K14" s="1" t="s">
        <v>11</v>
      </c>
      <c r="L14" s="1"/>
      <c r="M14" s="1"/>
      <c r="N14" s="1"/>
      <c r="O14" s="1"/>
      <c r="P14" s="1"/>
    </row>
    <row r="15" spans="2:16" x14ac:dyDescent="0.25">
      <c r="B15" s="1"/>
      <c r="C15" s="1"/>
      <c r="D15" s="1"/>
      <c r="E15" s="1"/>
      <c r="F15" s="1"/>
      <c r="G15" s="1">
        <v>2542318.2409999999</v>
      </c>
      <c r="H15" s="1">
        <f t="shared" si="2"/>
        <v>0</v>
      </c>
      <c r="I15" s="1"/>
      <c r="J15" s="1"/>
      <c r="K15" s="1" t="s">
        <v>12</v>
      </c>
      <c r="L15" s="1"/>
      <c r="M15" s="1"/>
      <c r="N15" s="1"/>
      <c r="O15" s="1"/>
      <c r="P15" s="1"/>
    </row>
    <row r="16" spans="2:16" x14ac:dyDescent="0.25">
      <c r="B16" s="1"/>
      <c r="C16" s="1"/>
      <c r="D16" s="1"/>
      <c r="E16" s="1"/>
      <c r="F16" s="1"/>
      <c r="G16" s="1">
        <v>2542319.2409999999</v>
      </c>
      <c r="H16" s="1">
        <f t="shared" si="2"/>
        <v>0</v>
      </c>
      <c r="I16" s="1"/>
      <c r="J16" s="1"/>
      <c r="K16" s="1" t="s">
        <v>13</v>
      </c>
      <c r="L16" s="1"/>
      <c r="M16" s="1"/>
      <c r="N16" s="1"/>
      <c r="O16" s="1"/>
      <c r="P16" s="1"/>
    </row>
    <row r="17" spans="2:16" x14ac:dyDescent="0.25">
      <c r="B17" s="1"/>
      <c r="C17" s="1"/>
      <c r="D17" s="1"/>
      <c r="E17" s="1"/>
      <c r="F17" s="1"/>
      <c r="G17" s="1">
        <v>2542320.2409999999</v>
      </c>
      <c r="H17" s="1">
        <f t="shared" si="2"/>
        <v>0</v>
      </c>
      <c r="I17" s="1"/>
      <c r="J17" s="1"/>
      <c r="K17" s="1" t="s">
        <v>24</v>
      </c>
      <c r="L17" s="1"/>
      <c r="M17" s="1"/>
      <c r="N17" s="1"/>
      <c r="O17" s="1"/>
      <c r="P17" s="1"/>
    </row>
    <row r="18" spans="2:16" x14ac:dyDescent="0.25">
      <c r="B18" s="1"/>
      <c r="C18" s="1"/>
      <c r="D18" s="1"/>
      <c r="E18" s="1"/>
      <c r="F18" s="1"/>
      <c r="G18" s="1">
        <v>2542321.2409999999</v>
      </c>
      <c r="H18" s="1">
        <f t="shared" si="2"/>
        <v>0</v>
      </c>
      <c r="I18" s="1"/>
      <c r="J18" s="1"/>
      <c r="K18" s="1" t="s">
        <v>22</v>
      </c>
      <c r="L18" s="1"/>
      <c r="M18" s="1"/>
      <c r="N18" s="1"/>
      <c r="O18" s="1"/>
      <c r="P18" s="1"/>
    </row>
    <row r="19" spans="2:16" x14ac:dyDescent="0.25">
      <c r="B19" s="1"/>
      <c r="C19" s="1"/>
      <c r="D19" s="1"/>
      <c r="E19" s="1"/>
      <c r="F19" s="1"/>
      <c r="G19" s="1">
        <v>2542322.2409999999</v>
      </c>
      <c r="H19" s="1">
        <f t="shared" si="2"/>
        <v>0</v>
      </c>
      <c r="I19" s="1"/>
      <c r="J19" s="1"/>
      <c r="K19" s="1" t="s">
        <v>23</v>
      </c>
      <c r="L19" s="1"/>
      <c r="M19" s="1"/>
      <c r="N19" s="1"/>
      <c r="O19" s="1"/>
      <c r="P19" s="1"/>
    </row>
    <row r="20" spans="2:16" x14ac:dyDescent="0.25">
      <c r="B20" s="1"/>
      <c r="C20" s="1"/>
      <c r="D20" s="1"/>
      <c r="E20" s="1"/>
      <c r="F20" s="1"/>
      <c r="G20" s="1">
        <v>2542323.2409999999</v>
      </c>
      <c r="H20" s="1">
        <f t="shared" si="2"/>
        <v>0</v>
      </c>
      <c r="I20" s="1"/>
      <c r="J20" s="1"/>
      <c r="K20" s="1"/>
      <c r="L20" s="1"/>
      <c r="M20" s="1"/>
      <c r="N20" s="1"/>
      <c r="O20" s="1"/>
      <c r="P20" s="1"/>
    </row>
    <row r="21" spans="2:16" x14ac:dyDescent="0.25">
      <c r="B21" s="1"/>
      <c r="C21" s="1"/>
      <c r="D21" s="1"/>
      <c r="E21" s="1"/>
      <c r="F21" s="1"/>
      <c r="G21" s="1">
        <v>2542324.2409999999</v>
      </c>
      <c r="H21" s="1">
        <f t="shared" si="2"/>
        <v>0</v>
      </c>
      <c r="I21" s="1"/>
      <c r="J21" s="1"/>
      <c r="K21" s="1"/>
      <c r="L21" s="1"/>
      <c r="M21" s="1"/>
      <c r="N21" s="1"/>
      <c r="O21" s="1"/>
      <c r="P21" s="1"/>
    </row>
    <row r="22" spans="2:16" x14ac:dyDescent="0.25">
      <c r="B22" t="s">
        <v>25</v>
      </c>
      <c r="C22">
        <v>12</v>
      </c>
      <c r="E22">
        <v>112400</v>
      </c>
      <c r="F22">
        <v>1348800</v>
      </c>
      <c r="G22">
        <v>2542325.2409999999</v>
      </c>
      <c r="H22">
        <f t="shared" si="2"/>
        <v>3429088285060.7998</v>
      </c>
      <c r="K22" t="s">
        <v>26</v>
      </c>
    </row>
    <row r="23" spans="2:16" x14ac:dyDescent="0.25">
      <c r="H23">
        <f t="shared" si="2"/>
        <v>0</v>
      </c>
      <c r="K23" t="s">
        <v>27</v>
      </c>
    </row>
    <row r="24" spans="2:16" x14ac:dyDescent="0.25">
      <c r="H24">
        <f t="shared" si="2"/>
        <v>0</v>
      </c>
      <c r="K24" t="s">
        <v>10</v>
      </c>
    </row>
    <row r="25" spans="2:16" x14ac:dyDescent="0.25">
      <c r="H25">
        <f t="shared" si="2"/>
        <v>0</v>
      </c>
      <c r="K25" t="s">
        <v>11</v>
      </c>
    </row>
    <row r="26" spans="2:16" x14ac:dyDescent="0.25">
      <c r="H26">
        <f t="shared" si="2"/>
        <v>0</v>
      </c>
      <c r="K26" t="s">
        <v>28</v>
      </c>
    </row>
    <row r="27" spans="2:16" x14ac:dyDescent="0.25">
      <c r="H27">
        <f t="shared" si="2"/>
        <v>0</v>
      </c>
      <c r="K27" t="s">
        <v>29</v>
      </c>
    </row>
    <row r="28" spans="2:16" x14ac:dyDescent="0.25">
      <c r="H28">
        <f t="shared" si="2"/>
        <v>0</v>
      </c>
      <c r="K28" t="s">
        <v>30</v>
      </c>
    </row>
    <row r="29" spans="2:16" x14ac:dyDescent="0.25">
      <c r="H29">
        <f t="shared" si="2"/>
        <v>0</v>
      </c>
      <c r="K29" t="s">
        <v>31</v>
      </c>
    </row>
    <row r="30" spans="2:16" x14ac:dyDescent="0.25">
      <c r="H30">
        <f t="shared" si="2"/>
        <v>0</v>
      </c>
      <c r="K30" t="s">
        <v>32</v>
      </c>
    </row>
    <row r="31" spans="2:16" x14ac:dyDescent="0.25">
      <c r="H31">
        <f t="shared" si="2"/>
        <v>0</v>
      </c>
    </row>
    <row r="32" spans="2:16" x14ac:dyDescent="0.25">
      <c r="B32" t="s">
        <v>39</v>
      </c>
      <c r="C32">
        <v>10</v>
      </c>
      <c r="F32">
        <v>1124000</v>
      </c>
      <c r="G32">
        <v>2285170.8530000001</v>
      </c>
      <c r="H32">
        <f t="shared" si="2"/>
        <v>2568532038772</v>
      </c>
      <c r="K32" t="s">
        <v>33</v>
      </c>
    </row>
    <row r="33" spans="11:11" x14ac:dyDescent="0.25">
      <c r="K33" t="s">
        <v>34</v>
      </c>
    </row>
    <row r="34" spans="11:11" x14ac:dyDescent="0.25">
      <c r="K34" t="s">
        <v>10</v>
      </c>
    </row>
    <row r="35" spans="11:11" x14ac:dyDescent="0.25">
      <c r="K35" t="s">
        <v>11</v>
      </c>
    </row>
    <row r="36" spans="11:11" x14ac:dyDescent="0.25">
      <c r="K36" t="s">
        <v>35</v>
      </c>
    </row>
    <row r="37" spans="11:11" x14ac:dyDescent="0.25">
      <c r="K37" t="s">
        <v>36</v>
      </c>
    </row>
    <row r="38" spans="11:11" x14ac:dyDescent="0.25">
      <c r="K38" t="s">
        <v>40</v>
      </c>
    </row>
    <row r="39" spans="11:11" x14ac:dyDescent="0.25">
      <c r="K39" t="s">
        <v>37</v>
      </c>
    </row>
    <row r="40" spans="11:11" x14ac:dyDescent="0.25">
      <c r="K40" t="s">
        <v>38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琦閎 邱</dc:creator>
  <cp:lastModifiedBy>琦閎 邱</cp:lastModifiedBy>
  <dcterms:created xsi:type="dcterms:W3CDTF">2024-11-30T07:41:51Z</dcterms:created>
  <dcterms:modified xsi:type="dcterms:W3CDTF">2024-12-01T18:19:05Z</dcterms:modified>
</cp:coreProperties>
</file>