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NYCU\113_1\IC LAB\Lab06\"/>
    </mc:Choice>
  </mc:AlternateContent>
  <xr:revisionPtr revIDLastSave="0" documentId="13_ncr:1_{BF68FF97-4661-48CB-B637-AA1D6FE8B6D1}" xr6:coauthVersionLast="47" xr6:coauthVersionMax="47" xr10:uidLastSave="{00000000-0000-0000-0000-000000000000}"/>
  <bookViews>
    <workbookView xWindow="-120" yWindow="-120" windowWidth="38640" windowHeight="21240" firstSheet="5" activeTab="7" xr2:uid="{00000000-000D-0000-FFFF-FFFF00000000}"/>
  </bookViews>
  <sheets>
    <sheet name="工作表1" sheetId="1" r:id="rId1"/>
    <sheet name="工作表2" sheetId="2" r:id="rId2"/>
    <sheet name="only det3" sheetId="3" r:id="rId3"/>
    <sheet name="only det4" sheetId="4" r:id="rId4"/>
    <sheet name="det2 test" sheetId="6" r:id="rId5"/>
    <sheet name="det3 test" sheetId="5" r:id="rId6"/>
    <sheet name="det4 test" sheetId="7" r:id="rId7"/>
    <sheet name="Performance" sheetId="8" r:id="rId8"/>
    <sheet name="v2 cycle" sheetId="9" r:id="rId9"/>
    <sheet name="det3 test v2" sheetId="11" r:id="rId10"/>
    <sheet name="det4 test v2" sheetId="1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8" l="1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AG41" i="11"/>
  <c r="AG40" i="11"/>
  <c r="AG39" i="11"/>
  <c r="AG38" i="11"/>
  <c r="AG37" i="11"/>
  <c r="AG36" i="11"/>
  <c r="AG35" i="11"/>
  <c r="AF41" i="11"/>
  <c r="AF40" i="11"/>
  <c r="AE41" i="11" s="1"/>
  <c r="AF39" i="11"/>
  <c r="AE40" i="11" s="1"/>
  <c r="AD41" i="11" s="1"/>
  <c r="AF37" i="11"/>
  <c r="AF38" i="11" s="1"/>
  <c r="AE39" i="11" s="1"/>
  <c r="AD40" i="11" s="1"/>
  <c r="AC41" i="11" s="1"/>
  <c r="AF36" i="11"/>
  <c r="AE37" i="11" s="1"/>
  <c r="AE38" i="11" s="1"/>
  <c r="AD39" i="11" s="1"/>
  <c r="AC40" i="11" s="1"/>
  <c r="D56" i="11"/>
  <c r="AL15" i="10"/>
  <c r="AM15" i="10"/>
  <c r="AN15" i="10"/>
  <c r="AO14" i="10"/>
  <c r="AO15" i="10"/>
  <c r="AO10" i="10"/>
  <c r="AN11" i="10" s="1"/>
  <c r="AN12" i="10" s="1"/>
  <c r="AN13" i="10" s="1"/>
  <c r="AM14" i="10" s="1"/>
  <c r="AO11" i="10"/>
  <c r="AO12" i="10"/>
  <c r="AO13" i="10"/>
  <c r="AN14" i="10" s="1"/>
  <c r="Y13" i="10"/>
  <c r="AA14" i="10" s="1"/>
  <c r="Y14" i="10"/>
  <c r="AA15" i="10" s="1"/>
  <c r="Y15" i="10"/>
  <c r="AA16" i="10" s="1"/>
  <c r="Y16" i="10"/>
  <c r="Y17" i="10"/>
  <c r="AA18" i="10" s="1"/>
  <c r="Y18" i="10"/>
  <c r="AA19" i="10" s="1"/>
  <c r="Y19" i="10"/>
  <c r="AA20" i="10" s="1"/>
  <c r="Y20" i="10"/>
  <c r="AA21" i="10" s="1"/>
  <c r="AO42" i="10"/>
  <c r="AO41" i="10"/>
  <c r="AN42" i="10" s="1"/>
  <c r="AK39" i="10"/>
  <c r="AO38" i="10"/>
  <c r="AO39" i="10" s="1"/>
  <c r="AO40" i="10" s="1"/>
  <c r="AN41" i="10" s="1"/>
  <c r="AM42" i="10" s="1"/>
  <c r="AM38" i="10"/>
  <c r="AM39" i="10" s="1"/>
  <c r="AM40" i="10" s="1"/>
  <c r="AK38" i="10"/>
  <c r="AJ39" i="10" s="1"/>
  <c r="AI38" i="10"/>
  <c r="AH37" i="10"/>
  <c r="AD22" i="10"/>
  <c r="AB21" i="10"/>
  <c r="AB20" i="10"/>
  <c r="AB19" i="10"/>
  <c r="AB18" i="10"/>
  <c r="AB17" i="10"/>
  <c r="AB16" i="10"/>
  <c r="AA17" i="10"/>
  <c r="AB15" i="10"/>
  <c r="AB14" i="10"/>
  <c r="AH11" i="10"/>
  <c r="F54" i="11"/>
  <c r="E54" i="11"/>
  <c r="D54" i="11"/>
  <c r="C54" i="11"/>
  <c r="F53" i="11"/>
  <c r="R52" i="11" s="1"/>
  <c r="E53" i="11"/>
  <c r="O52" i="11" s="1"/>
  <c r="D53" i="11"/>
  <c r="C53" i="11"/>
  <c r="Q52" i="11"/>
  <c r="F52" i="11"/>
  <c r="U52" i="11" s="1"/>
  <c r="E52" i="11"/>
  <c r="O51" i="11" s="1"/>
  <c r="D52" i="11"/>
  <c r="Q51" i="11" s="1"/>
  <c r="C52" i="11"/>
  <c r="H52" i="11" s="1"/>
  <c r="F51" i="11"/>
  <c r="L51" i="11" s="1"/>
  <c r="E51" i="11"/>
  <c r="E56" i="11" s="1"/>
  <c r="D51" i="11"/>
  <c r="K51" i="11" s="1"/>
  <c r="C51" i="11"/>
  <c r="T51" i="11" s="1"/>
  <c r="P46" i="11"/>
  <c r="O46" i="11"/>
  <c r="P45" i="11"/>
  <c r="O45" i="11"/>
  <c r="J45" i="11"/>
  <c r="J46" i="11" s="1"/>
  <c r="J47" i="11" s="1"/>
  <c r="P44" i="11"/>
  <c r="O44" i="11"/>
  <c r="I44" i="11"/>
  <c r="I45" i="11" s="1"/>
  <c r="I46" i="11" s="1"/>
  <c r="I47" i="11" s="1"/>
  <c r="P43" i="11"/>
  <c r="O43" i="11"/>
  <c r="I43" i="11"/>
  <c r="H44" i="11" s="1"/>
  <c r="H45" i="11" s="1"/>
  <c r="H46" i="11" s="1"/>
  <c r="H47" i="11" s="1"/>
  <c r="P42" i="11"/>
  <c r="O42" i="11"/>
  <c r="I42" i="11"/>
  <c r="H43" i="11" s="1"/>
  <c r="G44" i="11" s="1"/>
  <c r="G45" i="11" s="1"/>
  <c r="G46" i="11" s="1"/>
  <c r="G47" i="11" s="1"/>
  <c r="P41" i="11"/>
  <c r="I41" i="11"/>
  <c r="H42" i="11" s="1"/>
  <c r="G43" i="11" s="1"/>
  <c r="F44" i="11" s="1"/>
  <c r="F45" i="11" s="1"/>
  <c r="F46" i="11" s="1"/>
  <c r="F47" i="11" s="1"/>
  <c r="P40" i="11"/>
  <c r="AB43" i="11" s="1"/>
  <c r="I40" i="11"/>
  <c r="H41" i="11" s="1"/>
  <c r="G42" i="11" s="1"/>
  <c r="F43" i="11" s="1"/>
  <c r="E44" i="11" s="1"/>
  <c r="P39" i="11"/>
  <c r="O39" i="11"/>
  <c r="I39" i="11"/>
  <c r="H40" i="11" s="1"/>
  <c r="G41" i="11" s="1"/>
  <c r="F42" i="11" s="1"/>
  <c r="E43" i="11" s="1"/>
  <c r="AI38" i="11"/>
  <c r="AH38" i="11"/>
  <c r="AB41" i="11"/>
  <c r="AB39" i="11"/>
  <c r="AB40" i="11" s="1"/>
  <c r="P38" i="11"/>
  <c r="O38" i="11"/>
  <c r="I38" i="11"/>
  <c r="H39" i="11" s="1"/>
  <c r="G40" i="11" s="1"/>
  <c r="F41" i="11" s="1"/>
  <c r="E42" i="11" s="1"/>
  <c r="P37" i="11"/>
  <c r="I37" i="11"/>
  <c r="H38" i="11" s="1"/>
  <c r="G39" i="11" s="1"/>
  <c r="F40" i="11" s="1"/>
  <c r="E41" i="11" s="1"/>
  <c r="D42" i="11" s="1"/>
  <c r="C43" i="11" s="1"/>
  <c r="I36" i="11"/>
  <c r="H37" i="11" s="1"/>
  <c r="G38" i="11" s="1"/>
  <c r="F39" i="11" s="1"/>
  <c r="E40" i="11" s="1"/>
  <c r="P35" i="11"/>
  <c r="O35" i="11"/>
  <c r="N35" i="11"/>
  <c r="I35" i="11"/>
  <c r="H36" i="11" s="1"/>
  <c r="G37" i="11" s="1"/>
  <c r="F38" i="11" s="1"/>
  <c r="E39" i="11" s="1"/>
  <c r="D35" i="11"/>
  <c r="P34" i="11"/>
  <c r="O34" i="11"/>
  <c r="N34" i="11"/>
  <c r="I34" i="11"/>
  <c r="H35" i="11" s="1"/>
  <c r="G36" i="11" s="1"/>
  <c r="F37" i="11" s="1"/>
  <c r="E38" i="11" s="1"/>
  <c r="P33" i="11"/>
  <c r="O33" i="11"/>
  <c r="N33" i="11"/>
  <c r="I33" i="11"/>
  <c r="H34" i="11" s="1"/>
  <c r="G35" i="11" s="1"/>
  <c r="F36" i="11" s="1"/>
  <c r="E37" i="11" s="1"/>
  <c r="D38" i="11" s="1"/>
  <c r="C39" i="11" s="1"/>
  <c r="P32" i="11"/>
  <c r="O32" i="11"/>
  <c r="N32" i="11"/>
  <c r="I32" i="11"/>
  <c r="H33" i="11" s="1"/>
  <c r="G34" i="11" s="1"/>
  <c r="F35" i="11" s="1"/>
  <c r="E36" i="11" s="1"/>
  <c r="P31" i="11"/>
  <c r="O31" i="11"/>
  <c r="N31" i="11"/>
  <c r="I31" i="11"/>
  <c r="H32" i="11" s="1"/>
  <c r="G33" i="11" s="1"/>
  <c r="F34" i="11" s="1"/>
  <c r="E35" i="11" s="1"/>
  <c r="C31" i="11"/>
  <c r="P30" i="11"/>
  <c r="O30" i="11"/>
  <c r="N30" i="11"/>
  <c r="I30" i="11"/>
  <c r="H31" i="11" s="1"/>
  <c r="G32" i="11" s="1"/>
  <c r="F33" i="11" s="1"/>
  <c r="E34" i="11" s="1"/>
  <c r="H30" i="11"/>
  <c r="G31" i="11" s="1"/>
  <c r="F32" i="11" s="1"/>
  <c r="E33" i="11" s="1"/>
  <c r="D34" i="11" s="1"/>
  <c r="C35" i="11" s="1"/>
  <c r="G30" i="11"/>
  <c r="F31" i="11" s="1"/>
  <c r="E32" i="11" s="1"/>
  <c r="D33" i="11" s="1"/>
  <c r="C34" i="11" s="1"/>
  <c r="F30" i="11"/>
  <c r="E31" i="11" s="1"/>
  <c r="D32" i="11" s="1"/>
  <c r="C33" i="11" s="1"/>
  <c r="E30" i="11"/>
  <c r="D31" i="11" s="1"/>
  <c r="C32" i="11" s="1"/>
  <c r="D30" i="11"/>
  <c r="C30" i="11"/>
  <c r="P29" i="11"/>
  <c r="O29" i="11"/>
  <c r="N29" i="11"/>
  <c r="P28" i="11"/>
  <c r="O28" i="11"/>
  <c r="N28" i="11"/>
  <c r="AD27" i="11"/>
  <c r="P27" i="11"/>
  <c r="O27" i="11"/>
  <c r="N27" i="11"/>
  <c r="J20" i="11"/>
  <c r="J19" i="11"/>
  <c r="I18" i="11"/>
  <c r="I19" i="11" s="1"/>
  <c r="I20" i="11" s="1"/>
  <c r="C18" i="11"/>
  <c r="I17" i="11"/>
  <c r="H18" i="11" s="1"/>
  <c r="H19" i="11" s="1"/>
  <c r="H20" i="11" s="1"/>
  <c r="I16" i="11"/>
  <c r="H17" i="11" s="1"/>
  <c r="G18" i="11" s="1"/>
  <c r="G19" i="11" s="1"/>
  <c r="G20" i="11" s="1"/>
  <c r="I15" i="11"/>
  <c r="H16" i="11" s="1"/>
  <c r="G17" i="11" s="1"/>
  <c r="F18" i="11" s="1"/>
  <c r="F19" i="11" s="1"/>
  <c r="F20" i="11" s="1"/>
  <c r="AH14" i="11"/>
  <c r="I14" i="11"/>
  <c r="H15" i="11" s="1"/>
  <c r="G16" i="11" s="1"/>
  <c r="F17" i="11" s="1"/>
  <c r="E18" i="11" s="1"/>
  <c r="E19" i="11" s="1"/>
  <c r="E20" i="11" s="1"/>
  <c r="I13" i="11"/>
  <c r="H14" i="11" s="1"/>
  <c r="G15" i="11" s="1"/>
  <c r="F16" i="11" s="1"/>
  <c r="I12" i="11"/>
  <c r="H13" i="11" s="1"/>
  <c r="G14" i="11" s="1"/>
  <c r="F15" i="11" s="1"/>
  <c r="E16" i="11" s="1"/>
  <c r="D17" i="11" s="1"/>
  <c r="I11" i="11"/>
  <c r="H12" i="11" s="1"/>
  <c r="G13" i="11" s="1"/>
  <c r="F14" i="11" s="1"/>
  <c r="E15" i="11" s="1"/>
  <c r="D16" i="11" s="1"/>
  <c r="C17" i="11" s="1"/>
  <c r="I10" i="11"/>
  <c r="H11" i="11" s="1"/>
  <c r="G12" i="11" s="1"/>
  <c r="F13" i="11" s="1"/>
  <c r="E14" i="11" s="1"/>
  <c r="I9" i="11"/>
  <c r="H10" i="11" s="1"/>
  <c r="G11" i="11" s="1"/>
  <c r="F12" i="11" s="1"/>
  <c r="E13" i="11" s="1"/>
  <c r="I8" i="11"/>
  <c r="H9" i="11" s="1"/>
  <c r="G10" i="11" s="1"/>
  <c r="F11" i="11" s="1"/>
  <c r="E12" i="11" s="1"/>
  <c r="I7" i="11"/>
  <c r="H8" i="11" s="1"/>
  <c r="G9" i="11" s="1"/>
  <c r="F10" i="11" s="1"/>
  <c r="E11" i="11" s="1"/>
  <c r="D12" i="11" s="1"/>
  <c r="C13" i="11" s="1"/>
  <c r="I6" i="11"/>
  <c r="H7" i="11" s="1"/>
  <c r="G8" i="11" s="1"/>
  <c r="F9" i="11" s="1"/>
  <c r="E10" i="11" s="1"/>
  <c r="D11" i="11" s="1"/>
  <c r="C12" i="11" s="1"/>
  <c r="K12" i="11" s="1"/>
  <c r="H6" i="11"/>
  <c r="G7" i="11" s="1"/>
  <c r="F8" i="11" s="1"/>
  <c r="E9" i="11" s="1"/>
  <c r="I5" i="11"/>
  <c r="D5" i="11"/>
  <c r="C6" i="11" s="1"/>
  <c r="I4" i="11"/>
  <c r="H5" i="11" s="1"/>
  <c r="G6" i="11" s="1"/>
  <c r="F7" i="11" s="1"/>
  <c r="E8" i="11" s="1"/>
  <c r="H4" i="11"/>
  <c r="G5" i="11" s="1"/>
  <c r="F6" i="11" s="1"/>
  <c r="E7" i="11" s="1"/>
  <c r="D8" i="11" s="1"/>
  <c r="C9" i="11" s="1"/>
  <c r="G4" i="11"/>
  <c r="F5" i="11" s="1"/>
  <c r="E6" i="11" s="1"/>
  <c r="D7" i="11" s="1"/>
  <c r="C8" i="11" s="1"/>
  <c r="F4" i="11"/>
  <c r="E5" i="11" s="1"/>
  <c r="D6" i="11" s="1"/>
  <c r="C7" i="11" s="1"/>
  <c r="E4" i="11"/>
  <c r="D4" i="11"/>
  <c r="C5" i="11" s="1"/>
  <c r="C4" i="11"/>
  <c r="AD1" i="11"/>
  <c r="P46" i="10"/>
  <c r="O46" i="10"/>
  <c r="P45" i="10"/>
  <c r="O45" i="10"/>
  <c r="J45" i="10"/>
  <c r="J46" i="10" s="1"/>
  <c r="J47" i="10" s="1"/>
  <c r="P44" i="10"/>
  <c r="O44" i="10"/>
  <c r="I44" i="10"/>
  <c r="I45" i="10" s="1"/>
  <c r="I46" i="10" s="1"/>
  <c r="I47" i="10" s="1"/>
  <c r="P43" i="10"/>
  <c r="O43" i="10"/>
  <c r="I43" i="10"/>
  <c r="H44" i="10" s="1"/>
  <c r="H45" i="10" s="1"/>
  <c r="H46" i="10" s="1"/>
  <c r="H47" i="10" s="1"/>
  <c r="P42" i="10"/>
  <c r="O42" i="10"/>
  <c r="I42" i="10"/>
  <c r="H43" i="10" s="1"/>
  <c r="G44" i="10" s="1"/>
  <c r="G45" i="10" s="1"/>
  <c r="G46" i="10" s="1"/>
  <c r="G47" i="10" s="1"/>
  <c r="P41" i="10"/>
  <c r="I41" i="10"/>
  <c r="H42" i="10" s="1"/>
  <c r="G43" i="10" s="1"/>
  <c r="F44" i="10" s="1"/>
  <c r="F45" i="10" s="1"/>
  <c r="F46" i="10" s="1"/>
  <c r="F47" i="10" s="1"/>
  <c r="P40" i="10"/>
  <c r="I40" i="10"/>
  <c r="H41" i="10" s="1"/>
  <c r="G42" i="10" s="1"/>
  <c r="F43" i="10" s="1"/>
  <c r="E44" i="10" s="1"/>
  <c r="P39" i="10"/>
  <c r="O39" i="10"/>
  <c r="I39" i="10"/>
  <c r="H40" i="10" s="1"/>
  <c r="G41" i="10" s="1"/>
  <c r="F42" i="10" s="1"/>
  <c r="E43" i="10" s="1"/>
  <c r="P38" i="10"/>
  <c r="O38" i="10"/>
  <c r="I38" i="10"/>
  <c r="H39" i="10" s="1"/>
  <c r="G40" i="10" s="1"/>
  <c r="F41" i="10" s="1"/>
  <c r="E42" i="10" s="1"/>
  <c r="P37" i="10"/>
  <c r="I37" i="10"/>
  <c r="H38" i="10" s="1"/>
  <c r="G39" i="10" s="1"/>
  <c r="F40" i="10" s="1"/>
  <c r="E41" i="10" s="1"/>
  <c r="D42" i="10" s="1"/>
  <c r="C43" i="10" s="1"/>
  <c r="I36" i="10"/>
  <c r="H37" i="10" s="1"/>
  <c r="G38" i="10" s="1"/>
  <c r="F39" i="10" s="1"/>
  <c r="E40" i="10" s="1"/>
  <c r="P35" i="10"/>
  <c r="O35" i="10"/>
  <c r="N35" i="10"/>
  <c r="I35" i="10"/>
  <c r="H36" i="10" s="1"/>
  <c r="G37" i="10" s="1"/>
  <c r="F38" i="10" s="1"/>
  <c r="E39" i="10" s="1"/>
  <c r="P34" i="10"/>
  <c r="O34" i="10"/>
  <c r="N34" i="10"/>
  <c r="I34" i="10"/>
  <c r="H35" i="10" s="1"/>
  <c r="G36" i="10" s="1"/>
  <c r="F37" i="10" s="1"/>
  <c r="E38" i="10" s="1"/>
  <c r="P33" i="10"/>
  <c r="O33" i="10"/>
  <c r="N33" i="10"/>
  <c r="I33" i="10"/>
  <c r="H34" i="10" s="1"/>
  <c r="G35" i="10" s="1"/>
  <c r="F36" i="10" s="1"/>
  <c r="E37" i="10" s="1"/>
  <c r="D38" i="10" s="1"/>
  <c r="C39" i="10" s="1"/>
  <c r="P32" i="10"/>
  <c r="O32" i="10"/>
  <c r="N32" i="10"/>
  <c r="I32" i="10"/>
  <c r="H33" i="10" s="1"/>
  <c r="G34" i="10" s="1"/>
  <c r="F35" i="10" s="1"/>
  <c r="E36" i="10" s="1"/>
  <c r="P31" i="10"/>
  <c r="O31" i="10"/>
  <c r="N31" i="10"/>
  <c r="I31" i="10"/>
  <c r="H32" i="10" s="1"/>
  <c r="G33" i="10" s="1"/>
  <c r="F34" i="10" s="1"/>
  <c r="E35" i="10" s="1"/>
  <c r="P30" i="10"/>
  <c r="O30" i="10"/>
  <c r="N30" i="10"/>
  <c r="I30" i="10"/>
  <c r="H31" i="10" s="1"/>
  <c r="G32" i="10" s="1"/>
  <c r="F33" i="10" s="1"/>
  <c r="E34" i="10" s="1"/>
  <c r="H30" i="10"/>
  <c r="G31" i="10" s="1"/>
  <c r="F32" i="10" s="1"/>
  <c r="E33" i="10" s="1"/>
  <c r="D34" i="10" s="1"/>
  <c r="C35" i="10" s="1"/>
  <c r="G30" i="10"/>
  <c r="F31" i="10" s="1"/>
  <c r="E32" i="10" s="1"/>
  <c r="D33" i="10" s="1"/>
  <c r="C34" i="10" s="1"/>
  <c r="F30" i="10"/>
  <c r="E31" i="10" s="1"/>
  <c r="D32" i="10" s="1"/>
  <c r="C33" i="10" s="1"/>
  <c r="E30" i="10"/>
  <c r="D31" i="10" s="1"/>
  <c r="C32" i="10" s="1"/>
  <c r="D30" i="10"/>
  <c r="C31" i="10" s="1"/>
  <c r="C30" i="10"/>
  <c r="P29" i="10"/>
  <c r="O29" i="10"/>
  <c r="N29" i="10"/>
  <c r="P28" i="10"/>
  <c r="O28" i="10"/>
  <c r="N28" i="10"/>
  <c r="P27" i="10"/>
  <c r="O27" i="10"/>
  <c r="N27" i="10"/>
  <c r="J19" i="10"/>
  <c r="J20" i="10" s="1"/>
  <c r="I18" i="10"/>
  <c r="I19" i="10" s="1"/>
  <c r="I20" i="10" s="1"/>
  <c r="I17" i="10"/>
  <c r="H18" i="10" s="1"/>
  <c r="H19" i="10" s="1"/>
  <c r="H20" i="10" s="1"/>
  <c r="I16" i="10"/>
  <c r="H17" i="10" s="1"/>
  <c r="G18" i="10" s="1"/>
  <c r="G19" i="10" s="1"/>
  <c r="G20" i="10" s="1"/>
  <c r="I15" i="10"/>
  <c r="H16" i="10" s="1"/>
  <c r="G17" i="10" s="1"/>
  <c r="F18" i="10" s="1"/>
  <c r="F19" i="10" s="1"/>
  <c r="F20" i="10" s="1"/>
  <c r="I14" i="10"/>
  <c r="H15" i="10" s="1"/>
  <c r="G16" i="10" s="1"/>
  <c r="F17" i="10" s="1"/>
  <c r="E18" i="10" s="1"/>
  <c r="I13" i="10"/>
  <c r="H14" i="10" s="1"/>
  <c r="G15" i="10" s="1"/>
  <c r="F16" i="10" s="1"/>
  <c r="E17" i="10" s="1"/>
  <c r="I12" i="10"/>
  <c r="H13" i="10" s="1"/>
  <c r="G14" i="10" s="1"/>
  <c r="F15" i="10" s="1"/>
  <c r="E16" i="10" s="1"/>
  <c r="I11" i="10"/>
  <c r="H12" i="10" s="1"/>
  <c r="G13" i="10" s="1"/>
  <c r="F14" i="10" s="1"/>
  <c r="E15" i="10" s="1"/>
  <c r="D16" i="10" s="1"/>
  <c r="C17" i="10" s="1"/>
  <c r="I10" i="10"/>
  <c r="H11" i="10" s="1"/>
  <c r="G12" i="10" s="1"/>
  <c r="F13" i="10" s="1"/>
  <c r="I9" i="10"/>
  <c r="H10" i="10" s="1"/>
  <c r="G11" i="10" s="1"/>
  <c r="F12" i="10" s="1"/>
  <c r="E13" i="10" s="1"/>
  <c r="I8" i="10"/>
  <c r="H9" i="10" s="1"/>
  <c r="G10" i="10" s="1"/>
  <c r="F11" i="10" s="1"/>
  <c r="E12" i="10" s="1"/>
  <c r="I7" i="10"/>
  <c r="H8" i="10" s="1"/>
  <c r="G9" i="10" s="1"/>
  <c r="F10" i="10" s="1"/>
  <c r="E11" i="10" s="1"/>
  <c r="D12" i="10" s="1"/>
  <c r="C13" i="10" s="1"/>
  <c r="I6" i="10"/>
  <c r="H7" i="10" s="1"/>
  <c r="G8" i="10" s="1"/>
  <c r="F9" i="10" s="1"/>
  <c r="E10" i="10" s="1"/>
  <c r="I5" i="10"/>
  <c r="H6" i="10" s="1"/>
  <c r="G7" i="10" s="1"/>
  <c r="F8" i="10" s="1"/>
  <c r="E9" i="10" s="1"/>
  <c r="I4" i="10"/>
  <c r="H5" i="10" s="1"/>
  <c r="G6" i="10" s="1"/>
  <c r="F7" i="10" s="1"/>
  <c r="E8" i="10" s="1"/>
  <c r="H4" i="10"/>
  <c r="G5" i="10" s="1"/>
  <c r="F6" i="10" s="1"/>
  <c r="E7" i="10" s="1"/>
  <c r="D8" i="10" s="1"/>
  <c r="C9" i="10" s="1"/>
  <c r="G4" i="10"/>
  <c r="F5" i="10" s="1"/>
  <c r="E6" i="10" s="1"/>
  <c r="D7" i="10" s="1"/>
  <c r="C8" i="10" s="1"/>
  <c r="F4" i="10"/>
  <c r="E5" i="10" s="1"/>
  <c r="D6" i="10" s="1"/>
  <c r="C7" i="10" s="1"/>
  <c r="E4" i="10"/>
  <c r="D5" i="10" s="1"/>
  <c r="C6" i="10" s="1"/>
  <c r="D4" i="10"/>
  <c r="C5" i="10" s="1"/>
  <c r="C4" i="10"/>
  <c r="F54" i="10"/>
  <c r="E54" i="10"/>
  <c r="D54" i="10"/>
  <c r="C54" i="10"/>
  <c r="F53" i="10"/>
  <c r="R52" i="10" s="1"/>
  <c r="E53" i="10"/>
  <c r="O52" i="10" s="1"/>
  <c r="D53" i="10"/>
  <c r="C53" i="10"/>
  <c r="F52" i="10"/>
  <c r="E52" i="10"/>
  <c r="O51" i="10" s="1"/>
  <c r="D52" i="10"/>
  <c r="K52" i="10" s="1"/>
  <c r="C52" i="10"/>
  <c r="N51" i="10" s="1"/>
  <c r="F51" i="10"/>
  <c r="L51" i="10" s="1"/>
  <c r="E51" i="10"/>
  <c r="I51" i="10" s="1"/>
  <c r="D51" i="10"/>
  <c r="C51" i="10"/>
  <c r="J45" i="9"/>
  <c r="J46" i="9" s="1"/>
  <c r="J47" i="9" s="1"/>
  <c r="H45" i="9"/>
  <c r="H46" i="9" s="1"/>
  <c r="H47" i="9" s="1"/>
  <c r="G45" i="9"/>
  <c r="G46" i="9" s="1"/>
  <c r="G47" i="9" s="1"/>
  <c r="C19" i="9"/>
  <c r="C20" i="9" s="1"/>
  <c r="F19" i="9"/>
  <c r="F20" i="9" s="1"/>
  <c r="J19" i="9"/>
  <c r="J20" i="9" s="1"/>
  <c r="T36" i="9"/>
  <c r="R40" i="9"/>
  <c r="E58" i="9"/>
  <c r="K56" i="9" s="1"/>
  <c r="T43" i="9" s="1"/>
  <c r="F54" i="9"/>
  <c r="F58" i="9" s="1"/>
  <c r="L56" i="9" s="1"/>
  <c r="T44" i="9" s="1"/>
  <c r="E54" i="9"/>
  <c r="D54" i="9"/>
  <c r="C54" i="9"/>
  <c r="F53" i="9"/>
  <c r="R52" i="9" s="1"/>
  <c r="E53" i="9"/>
  <c r="O52" i="9" s="1"/>
  <c r="D53" i="9"/>
  <c r="Q52" i="9" s="1"/>
  <c r="C53" i="9"/>
  <c r="N52" i="9" s="1"/>
  <c r="U52" i="9"/>
  <c r="F52" i="9"/>
  <c r="R51" i="9" s="1"/>
  <c r="E52" i="9"/>
  <c r="D52" i="9"/>
  <c r="C52" i="9"/>
  <c r="D62" i="9" s="1"/>
  <c r="F61" i="9" s="1"/>
  <c r="F51" i="9"/>
  <c r="L51" i="9" s="1"/>
  <c r="E51" i="9"/>
  <c r="F56" i="9" s="1"/>
  <c r="N38" i="9" s="1"/>
  <c r="D51" i="9"/>
  <c r="K51" i="9" s="1"/>
  <c r="C51" i="9"/>
  <c r="P46" i="9"/>
  <c r="O46" i="9"/>
  <c r="P45" i="9"/>
  <c r="O45" i="9"/>
  <c r="P44" i="9"/>
  <c r="O44" i="9"/>
  <c r="I44" i="9"/>
  <c r="I45" i="9" s="1"/>
  <c r="I46" i="9" s="1"/>
  <c r="I47" i="9" s="1"/>
  <c r="AA43" i="9"/>
  <c r="P43" i="9"/>
  <c r="O43" i="9"/>
  <c r="I43" i="9"/>
  <c r="H44" i="9" s="1"/>
  <c r="AA42" i="9"/>
  <c r="Z43" i="9" s="1"/>
  <c r="Z42" i="9"/>
  <c r="Y43" i="9" s="1"/>
  <c r="P42" i="9"/>
  <c r="O42" i="9"/>
  <c r="I42" i="9"/>
  <c r="H43" i="9" s="1"/>
  <c r="G44" i="9" s="1"/>
  <c r="AA41" i="9"/>
  <c r="P41" i="9"/>
  <c r="I41" i="9"/>
  <c r="H42" i="9" s="1"/>
  <c r="G43" i="9" s="1"/>
  <c r="F44" i="9" s="1"/>
  <c r="F45" i="9" s="1"/>
  <c r="F46" i="9" s="1"/>
  <c r="F47" i="9" s="1"/>
  <c r="P40" i="9"/>
  <c r="I40" i="9"/>
  <c r="H41" i="9" s="1"/>
  <c r="G42" i="9" s="1"/>
  <c r="F43" i="9" s="1"/>
  <c r="AA39" i="9"/>
  <c r="AA40" i="9" s="1"/>
  <c r="Z41" i="9" s="1"/>
  <c r="Y42" i="9" s="1"/>
  <c r="P39" i="9"/>
  <c r="O39" i="9"/>
  <c r="I39" i="9"/>
  <c r="H40" i="9" s="1"/>
  <c r="G41" i="9" s="1"/>
  <c r="F42" i="9" s="1"/>
  <c r="E43" i="9" s="1"/>
  <c r="D44" i="9" s="1"/>
  <c r="AA38" i="9"/>
  <c r="Z39" i="9" s="1"/>
  <c r="Z40" i="9" s="1"/>
  <c r="Y41" i="9" s="1"/>
  <c r="Z38" i="9"/>
  <c r="Y39" i="9" s="1"/>
  <c r="Y40" i="9" s="1"/>
  <c r="P38" i="9"/>
  <c r="O38" i="9"/>
  <c r="I38" i="9"/>
  <c r="P37" i="9"/>
  <c r="I37" i="9"/>
  <c r="H38" i="9" s="1"/>
  <c r="G39" i="9" s="1"/>
  <c r="F40" i="9" s="1"/>
  <c r="E41" i="9" s="1"/>
  <c r="D42" i="9" s="1"/>
  <c r="C43" i="9" s="1"/>
  <c r="I36" i="9"/>
  <c r="H37" i="9" s="1"/>
  <c r="G38" i="9" s="1"/>
  <c r="F39" i="9" s="1"/>
  <c r="E40" i="9" s="1"/>
  <c r="H36" i="9"/>
  <c r="G37" i="9" s="1"/>
  <c r="F38" i="9" s="1"/>
  <c r="E39" i="9" s="1"/>
  <c r="D40" i="9" s="1"/>
  <c r="C41" i="9" s="1"/>
  <c r="P35" i="9"/>
  <c r="O35" i="9"/>
  <c r="N35" i="9"/>
  <c r="I35" i="9"/>
  <c r="P34" i="9"/>
  <c r="O34" i="9"/>
  <c r="N34" i="9"/>
  <c r="I34" i="9"/>
  <c r="H35" i="9" s="1"/>
  <c r="G36" i="9" s="1"/>
  <c r="F37" i="9" s="1"/>
  <c r="E38" i="9" s="1"/>
  <c r="D39" i="9" s="1"/>
  <c r="C40" i="9" s="1"/>
  <c r="P33" i="9"/>
  <c r="O33" i="9"/>
  <c r="N33" i="9"/>
  <c r="I33" i="9"/>
  <c r="H34" i="9" s="1"/>
  <c r="G35" i="9" s="1"/>
  <c r="F36" i="9" s="1"/>
  <c r="E37" i="9" s="1"/>
  <c r="D38" i="9" s="1"/>
  <c r="C39" i="9" s="1"/>
  <c r="H33" i="9"/>
  <c r="G34" i="9" s="1"/>
  <c r="F35" i="9" s="1"/>
  <c r="E36" i="9" s="1"/>
  <c r="D37" i="9" s="1"/>
  <c r="C38" i="9" s="1"/>
  <c r="C33" i="9"/>
  <c r="P32" i="9"/>
  <c r="O32" i="9"/>
  <c r="N32" i="9"/>
  <c r="I32" i="9"/>
  <c r="P31" i="9"/>
  <c r="O31" i="9"/>
  <c r="N31" i="9"/>
  <c r="I31" i="9"/>
  <c r="H32" i="9" s="1"/>
  <c r="G33" i="9" s="1"/>
  <c r="F34" i="9" s="1"/>
  <c r="E35" i="9" s="1"/>
  <c r="P30" i="9"/>
  <c r="O30" i="9"/>
  <c r="N30" i="9"/>
  <c r="I30" i="9"/>
  <c r="H31" i="9" s="1"/>
  <c r="G32" i="9" s="1"/>
  <c r="F33" i="9" s="1"/>
  <c r="E34" i="9" s="1"/>
  <c r="H30" i="9"/>
  <c r="G31" i="9" s="1"/>
  <c r="F32" i="9" s="1"/>
  <c r="E33" i="9" s="1"/>
  <c r="D34" i="9" s="1"/>
  <c r="C35" i="9" s="1"/>
  <c r="G30" i="9"/>
  <c r="F31" i="9" s="1"/>
  <c r="E32" i="9" s="1"/>
  <c r="D33" i="9" s="1"/>
  <c r="C34" i="9" s="1"/>
  <c r="F30" i="9"/>
  <c r="E31" i="9" s="1"/>
  <c r="D32" i="9" s="1"/>
  <c r="E30" i="9"/>
  <c r="D31" i="9" s="1"/>
  <c r="C32" i="9" s="1"/>
  <c r="D30" i="9"/>
  <c r="C31" i="9" s="1"/>
  <c r="C30" i="9"/>
  <c r="P29" i="9"/>
  <c r="O29" i="9"/>
  <c r="N29" i="9"/>
  <c r="P28" i="9"/>
  <c r="O28" i="9"/>
  <c r="N28" i="9"/>
  <c r="AA27" i="9"/>
  <c r="P27" i="9"/>
  <c r="O27" i="9"/>
  <c r="N27" i="9"/>
  <c r="I18" i="9"/>
  <c r="I19" i="9" s="1"/>
  <c r="I20" i="9" s="1"/>
  <c r="I17" i="9"/>
  <c r="H18" i="9" s="1"/>
  <c r="H19" i="9" s="1"/>
  <c r="H20" i="9" s="1"/>
  <c r="I16" i="9"/>
  <c r="H17" i="9" s="1"/>
  <c r="G18" i="9" s="1"/>
  <c r="G19" i="9" s="1"/>
  <c r="G20" i="9" s="1"/>
  <c r="I15" i="9"/>
  <c r="H16" i="9" s="1"/>
  <c r="G17" i="9" s="1"/>
  <c r="F18" i="9" s="1"/>
  <c r="I14" i="9"/>
  <c r="H15" i="9" s="1"/>
  <c r="G16" i="9" s="1"/>
  <c r="F17" i="9" s="1"/>
  <c r="E18" i="9" s="1"/>
  <c r="F14" i="9"/>
  <c r="E15" i="9" s="1"/>
  <c r="D16" i="9" s="1"/>
  <c r="C17" i="9" s="1"/>
  <c r="S13" i="9"/>
  <c r="S14" i="9" s="1"/>
  <c r="R15" i="9" s="1"/>
  <c r="I13" i="9"/>
  <c r="H14" i="9" s="1"/>
  <c r="G15" i="9" s="1"/>
  <c r="F16" i="9" s="1"/>
  <c r="E17" i="9" s="1"/>
  <c r="D18" i="9" s="1"/>
  <c r="D19" i="9" s="1"/>
  <c r="Y12" i="9"/>
  <c r="X13" i="9" s="1"/>
  <c r="X14" i="9" s="1"/>
  <c r="W15" i="9" s="1"/>
  <c r="V16" i="9" s="1"/>
  <c r="U17" i="9" s="1"/>
  <c r="U18" i="9" s="1"/>
  <c r="T19" i="9" s="1"/>
  <c r="X12" i="9"/>
  <c r="W13" i="9" s="1"/>
  <c r="W14" i="9" s="1"/>
  <c r="V15" i="9" s="1"/>
  <c r="U16" i="9" s="1"/>
  <c r="T17" i="9" s="1"/>
  <c r="T18" i="9" s="1"/>
  <c r="S19" i="9" s="1"/>
  <c r="W12" i="9"/>
  <c r="V13" i="9" s="1"/>
  <c r="V14" i="9" s="1"/>
  <c r="U15" i="9" s="1"/>
  <c r="T16" i="9" s="1"/>
  <c r="S17" i="9" s="1"/>
  <c r="S18" i="9" s="1"/>
  <c r="R19" i="9" s="1"/>
  <c r="V12" i="9"/>
  <c r="U13" i="9" s="1"/>
  <c r="U14" i="9" s="1"/>
  <c r="T15" i="9" s="1"/>
  <c r="S16" i="9" s="1"/>
  <c r="R17" i="9" s="1"/>
  <c r="R18" i="9" s="1"/>
  <c r="U12" i="9"/>
  <c r="T13" i="9" s="1"/>
  <c r="T14" i="9" s="1"/>
  <c r="S15" i="9" s="1"/>
  <c r="R16" i="9" s="1"/>
  <c r="T12" i="9"/>
  <c r="S12" i="9"/>
  <c r="R13" i="9" s="1"/>
  <c r="R14" i="9" s="1"/>
  <c r="R12" i="9"/>
  <c r="I12" i="9"/>
  <c r="H13" i="9" s="1"/>
  <c r="G14" i="9" s="1"/>
  <c r="F15" i="9" s="1"/>
  <c r="E16" i="9" s="1"/>
  <c r="D17" i="9" s="1"/>
  <c r="C18" i="9" s="1"/>
  <c r="I11" i="9"/>
  <c r="H12" i="9" s="1"/>
  <c r="G13" i="9" s="1"/>
  <c r="I10" i="9"/>
  <c r="H11" i="9" s="1"/>
  <c r="G12" i="9" s="1"/>
  <c r="F13" i="9" s="1"/>
  <c r="E14" i="9" s="1"/>
  <c r="D15" i="9" s="1"/>
  <c r="C16" i="9" s="1"/>
  <c r="I9" i="9"/>
  <c r="H10" i="9" s="1"/>
  <c r="G11" i="9" s="1"/>
  <c r="F12" i="9" s="1"/>
  <c r="E13" i="9" s="1"/>
  <c r="D14" i="9" s="1"/>
  <c r="C15" i="9" s="1"/>
  <c r="I8" i="9"/>
  <c r="H9" i="9" s="1"/>
  <c r="G10" i="9" s="1"/>
  <c r="F11" i="9" s="1"/>
  <c r="E12" i="9" s="1"/>
  <c r="G8" i="9"/>
  <c r="F9" i="9" s="1"/>
  <c r="E10" i="9" s="1"/>
  <c r="D11" i="9" s="1"/>
  <c r="C12" i="9" s="1"/>
  <c r="I7" i="9"/>
  <c r="H8" i="9" s="1"/>
  <c r="G9" i="9" s="1"/>
  <c r="F10" i="9" s="1"/>
  <c r="E11" i="9" s="1"/>
  <c r="D12" i="9" s="1"/>
  <c r="C13" i="9" s="1"/>
  <c r="I6" i="9"/>
  <c r="H7" i="9" s="1"/>
  <c r="E6" i="9"/>
  <c r="D7" i="9" s="1"/>
  <c r="C8" i="9" s="1"/>
  <c r="I5" i="9"/>
  <c r="H6" i="9" s="1"/>
  <c r="G7" i="9" s="1"/>
  <c r="F8" i="9" s="1"/>
  <c r="E9" i="9" s="1"/>
  <c r="D10" i="9" s="1"/>
  <c r="C11" i="9" s="1"/>
  <c r="D5" i="9"/>
  <c r="C6" i="9" s="1"/>
  <c r="I4" i="9"/>
  <c r="H5" i="9" s="1"/>
  <c r="G6" i="9" s="1"/>
  <c r="F7" i="9" s="1"/>
  <c r="E8" i="9" s="1"/>
  <c r="H4" i="9"/>
  <c r="G5" i="9" s="1"/>
  <c r="F6" i="9" s="1"/>
  <c r="E7" i="9" s="1"/>
  <c r="D8" i="9" s="1"/>
  <c r="C9" i="9" s="1"/>
  <c r="G4" i="9"/>
  <c r="F5" i="9" s="1"/>
  <c r="F4" i="9"/>
  <c r="E5" i="9" s="1"/>
  <c r="D6" i="9" s="1"/>
  <c r="C7" i="9" s="1"/>
  <c r="E4" i="9"/>
  <c r="D4" i="9"/>
  <c r="C5" i="9" s="1"/>
  <c r="C4" i="9"/>
  <c r="T1" i="9"/>
  <c r="G9" i="8"/>
  <c r="G10" i="8"/>
  <c r="G11" i="8"/>
  <c r="G12" i="8"/>
  <c r="G13" i="8"/>
  <c r="G14" i="8"/>
  <c r="G15" i="8"/>
  <c r="G16" i="8"/>
  <c r="G17" i="8"/>
  <c r="G18" i="8"/>
  <c r="G19" i="8"/>
  <c r="G20" i="8"/>
  <c r="F20" i="8"/>
  <c r="AJ19" i="6"/>
  <c r="AJ18" i="6"/>
  <c r="AJ17" i="6"/>
  <c r="AJ16" i="6"/>
  <c r="AJ15" i="6"/>
  <c r="AJ14" i="6"/>
  <c r="AJ13" i="6"/>
  <c r="AJ12" i="6"/>
  <c r="AJ11" i="6"/>
  <c r="AJ10" i="6"/>
  <c r="AJ9" i="6"/>
  <c r="AI19" i="6"/>
  <c r="AI17" i="6"/>
  <c r="AI18" i="6" s="1"/>
  <c r="AH19" i="6" s="1"/>
  <c r="AI16" i="6"/>
  <c r="AH17" i="6" s="1"/>
  <c r="AH18" i="6" s="1"/>
  <c r="AG19" i="6" s="1"/>
  <c r="AI15" i="6"/>
  <c r="AH16" i="6" s="1"/>
  <c r="AG17" i="6" s="1"/>
  <c r="AG18" i="6" s="1"/>
  <c r="AF19" i="6" s="1"/>
  <c r="AB14" i="6"/>
  <c r="AA15" i="6" s="1"/>
  <c r="AC13" i="6"/>
  <c r="AC14" i="6" s="1"/>
  <c r="AB15" i="6" s="1"/>
  <c r="AA16" i="6" s="1"/>
  <c r="AB13" i="6"/>
  <c r="AI13" i="6"/>
  <c r="AI14" i="6" s="1"/>
  <c r="AH15" i="6" s="1"/>
  <c r="AG16" i="6" s="1"/>
  <c r="AF17" i="6" s="1"/>
  <c r="AF18" i="6" s="1"/>
  <c r="AE19" i="6" s="1"/>
  <c r="AH12" i="6"/>
  <c r="AG13" i="6" s="1"/>
  <c r="AG14" i="6" s="1"/>
  <c r="AF15" i="6" s="1"/>
  <c r="AE16" i="6" s="1"/>
  <c r="AD17" i="6" s="1"/>
  <c r="AD18" i="6" s="1"/>
  <c r="AC19" i="6" s="1"/>
  <c r="AG12" i="6"/>
  <c r="AF13" i="6" s="1"/>
  <c r="AF14" i="6" s="1"/>
  <c r="AE15" i="6" s="1"/>
  <c r="AD16" i="6" s="1"/>
  <c r="AC17" i="6" s="1"/>
  <c r="AC18" i="6" s="1"/>
  <c r="AB19" i="6" s="1"/>
  <c r="AF12" i="6"/>
  <c r="AE13" i="6" s="1"/>
  <c r="AE14" i="6" s="1"/>
  <c r="AD15" i="6" s="1"/>
  <c r="AC16" i="6" s="1"/>
  <c r="AB17" i="6" s="1"/>
  <c r="AB18" i="6" s="1"/>
  <c r="AA19" i="6" s="1"/>
  <c r="AE12" i="6"/>
  <c r="AD13" i="6" s="1"/>
  <c r="AD14" i="6" s="1"/>
  <c r="AC15" i="6" s="1"/>
  <c r="AB16" i="6" s="1"/>
  <c r="AA17" i="6" s="1"/>
  <c r="AA18" i="6" s="1"/>
  <c r="AD12" i="6"/>
  <c r="AC12" i="6"/>
  <c r="AB12" i="6"/>
  <c r="AA13" i="6" s="1"/>
  <c r="AA14" i="6" s="1"/>
  <c r="AA12" i="6"/>
  <c r="AI12" i="6"/>
  <c r="AH13" i="6" s="1"/>
  <c r="AH14" i="6" s="1"/>
  <c r="AG15" i="6" s="1"/>
  <c r="AF16" i="6" s="1"/>
  <c r="AE17" i="6" s="1"/>
  <c r="AE18" i="6" s="1"/>
  <c r="AD19" i="6" s="1"/>
  <c r="AC1" i="6"/>
  <c r="N18" i="6"/>
  <c r="N17" i="6"/>
  <c r="N16" i="6"/>
  <c r="N15" i="6"/>
  <c r="N14" i="6"/>
  <c r="N13" i="6"/>
  <c r="N12" i="6"/>
  <c r="N11" i="6"/>
  <c r="N10" i="6"/>
  <c r="N9" i="6"/>
  <c r="N8" i="6"/>
  <c r="G5" i="8"/>
  <c r="G6" i="8"/>
  <c r="G7" i="8"/>
  <c r="G3" i="8"/>
  <c r="G4" i="8"/>
  <c r="F3" i="8"/>
  <c r="F4" i="8"/>
  <c r="F5" i="8"/>
  <c r="F6" i="8"/>
  <c r="F7" i="8"/>
  <c r="F9" i="8"/>
  <c r="F10" i="8"/>
  <c r="F11" i="8"/>
  <c r="F12" i="8"/>
  <c r="F13" i="8"/>
  <c r="G2" i="8"/>
  <c r="F2" i="8"/>
  <c r="J19" i="7"/>
  <c r="J20" i="7" s="1"/>
  <c r="J21" i="7" s="1"/>
  <c r="J22" i="7" s="1"/>
  <c r="J23" i="7" s="1"/>
  <c r="J94" i="7"/>
  <c r="J95" i="7" s="1"/>
  <c r="J93" i="7"/>
  <c r="T21" i="7"/>
  <c r="T20" i="7"/>
  <c r="T19" i="7"/>
  <c r="T18" i="7"/>
  <c r="T17" i="7"/>
  <c r="T16" i="7"/>
  <c r="T15" i="7"/>
  <c r="T14" i="7"/>
  <c r="I61" i="7"/>
  <c r="AF39" i="7"/>
  <c r="AF40" i="7" s="1"/>
  <c r="AF38" i="7"/>
  <c r="AB38" i="7"/>
  <c r="Z27" i="7"/>
  <c r="F54" i="7"/>
  <c r="E54" i="7"/>
  <c r="D54" i="7"/>
  <c r="C54" i="7"/>
  <c r="F53" i="7"/>
  <c r="R52" i="7" s="1"/>
  <c r="E53" i="7"/>
  <c r="D53" i="7"/>
  <c r="Q52" i="7" s="1"/>
  <c r="C53" i="7"/>
  <c r="F52" i="7"/>
  <c r="L52" i="7" s="1"/>
  <c r="E52" i="7"/>
  <c r="I52" i="7" s="1"/>
  <c r="D52" i="7"/>
  <c r="C52" i="7"/>
  <c r="F51" i="7"/>
  <c r="U51" i="7" s="1"/>
  <c r="E51" i="7"/>
  <c r="I51" i="7" s="1"/>
  <c r="D51" i="7"/>
  <c r="C51" i="7"/>
  <c r="P46" i="7"/>
  <c r="O46" i="7"/>
  <c r="P45" i="7"/>
  <c r="O45" i="7"/>
  <c r="P44" i="7"/>
  <c r="O44" i="7"/>
  <c r="I44" i="7"/>
  <c r="I45" i="7" s="1"/>
  <c r="I46" i="7" s="1"/>
  <c r="I47" i="7" s="1"/>
  <c r="P43" i="7"/>
  <c r="O43" i="7"/>
  <c r="I43" i="7"/>
  <c r="H44" i="7" s="1"/>
  <c r="H45" i="7" s="1"/>
  <c r="H46" i="7" s="1"/>
  <c r="H47" i="7" s="1"/>
  <c r="P42" i="7"/>
  <c r="O42" i="7"/>
  <c r="I42" i="7"/>
  <c r="H43" i="7" s="1"/>
  <c r="G44" i="7" s="1"/>
  <c r="G45" i="7" s="1"/>
  <c r="G46" i="7" s="1"/>
  <c r="G47" i="7" s="1"/>
  <c r="P41" i="7"/>
  <c r="I41" i="7"/>
  <c r="H42" i="7" s="1"/>
  <c r="G43" i="7" s="1"/>
  <c r="F44" i="7" s="1"/>
  <c r="F45" i="7" s="1"/>
  <c r="F46" i="7" s="1"/>
  <c r="F47" i="7" s="1"/>
  <c r="P40" i="7"/>
  <c r="I40" i="7"/>
  <c r="H41" i="7" s="1"/>
  <c r="G42" i="7" s="1"/>
  <c r="P39" i="7"/>
  <c r="O39" i="7"/>
  <c r="I39" i="7"/>
  <c r="H40" i="7" s="1"/>
  <c r="G41" i="7" s="1"/>
  <c r="F42" i="7" s="1"/>
  <c r="P38" i="7"/>
  <c r="O38" i="7"/>
  <c r="I38" i="7"/>
  <c r="H39" i="7" s="1"/>
  <c r="G40" i="7" s="1"/>
  <c r="P37" i="7"/>
  <c r="I37" i="7"/>
  <c r="H38" i="7" s="1"/>
  <c r="G39" i="7" s="1"/>
  <c r="F40" i="7" s="1"/>
  <c r="I36" i="7"/>
  <c r="H37" i="7" s="1"/>
  <c r="G38" i="7" s="1"/>
  <c r="F39" i="7" s="1"/>
  <c r="P35" i="7"/>
  <c r="O35" i="7"/>
  <c r="N35" i="7"/>
  <c r="I35" i="7"/>
  <c r="H36" i="7" s="1"/>
  <c r="G37" i="7" s="1"/>
  <c r="F38" i="7" s="1"/>
  <c r="P34" i="7"/>
  <c r="O34" i="7"/>
  <c r="N34" i="7"/>
  <c r="I34" i="7"/>
  <c r="H35" i="7" s="1"/>
  <c r="G36" i="7" s="1"/>
  <c r="F37" i="7" s="1"/>
  <c r="P33" i="7"/>
  <c r="O33" i="7"/>
  <c r="N33" i="7"/>
  <c r="I33" i="7"/>
  <c r="H34" i="7" s="1"/>
  <c r="G35" i="7" s="1"/>
  <c r="F36" i="7" s="1"/>
  <c r="P32" i="7"/>
  <c r="O32" i="7"/>
  <c r="N32" i="7"/>
  <c r="I32" i="7"/>
  <c r="H33" i="7" s="1"/>
  <c r="G34" i="7" s="1"/>
  <c r="D32" i="7"/>
  <c r="C33" i="7" s="1"/>
  <c r="P31" i="7"/>
  <c r="O31" i="7"/>
  <c r="N31" i="7"/>
  <c r="I31" i="7"/>
  <c r="H32" i="7" s="1"/>
  <c r="G33" i="7" s="1"/>
  <c r="F34" i="7" s="1"/>
  <c r="F31" i="7"/>
  <c r="E32" i="7" s="1"/>
  <c r="D33" i="7" s="1"/>
  <c r="C34" i="7" s="1"/>
  <c r="E31" i="7"/>
  <c r="P30" i="7"/>
  <c r="O30" i="7"/>
  <c r="N30" i="7"/>
  <c r="I30" i="7"/>
  <c r="H31" i="7" s="1"/>
  <c r="G32" i="7" s="1"/>
  <c r="F33" i="7" s="1"/>
  <c r="H30" i="7"/>
  <c r="G31" i="7" s="1"/>
  <c r="F32" i="7" s="1"/>
  <c r="E33" i="7" s="1"/>
  <c r="D34" i="7" s="1"/>
  <c r="C35" i="7" s="1"/>
  <c r="G30" i="7"/>
  <c r="F30" i="7"/>
  <c r="E30" i="7"/>
  <c r="D31" i="7" s="1"/>
  <c r="C32" i="7" s="1"/>
  <c r="D30" i="7"/>
  <c r="C31" i="7" s="1"/>
  <c r="C30" i="7"/>
  <c r="P29" i="7"/>
  <c r="O29" i="7"/>
  <c r="N29" i="7"/>
  <c r="P28" i="7"/>
  <c r="O28" i="7"/>
  <c r="N28" i="7"/>
  <c r="P27" i="7"/>
  <c r="O27" i="7"/>
  <c r="N27" i="7"/>
  <c r="P23" i="7"/>
  <c r="O23" i="7"/>
  <c r="N23" i="7"/>
  <c r="W22" i="7"/>
  <c r="P22" i="7"/>
  <c r="O22" i="7"/>
  <c r="N22" i="7"/>
  <c r="U21" i="7"/>
  <c r="P21" i="7"/>
  <c r="O21" i="7"/>
  <c r="N21" i="7"/>
  <c r="U20" i="7"/>
  <c r="R20" i="7"/>
  <c r="P20" i="7"/>
  <c r="O20" i="7"/>
  <c r="U19" i="7"/>
  <c r="R19" i="7"/>
  <c r="P19" i="7"/>
  <c r="O19" i="7"/>
  <c r="U18" i="7"/>
  <c r="R18" i="7"/>
  <c r="P18" i="7"/>
  <c r="O18" i="7"/>
  <c r="I18" i="7"/>
  <c r="I19" i="7" s="1"/>
  <c r="I20" i="7" s="1"/>
  <c r="I21" i="7" s="1"/>
  <c r="I22" i="7" s="1"/>
  <c r="I23" i="7" s="1"/>
  <c r="H18" i="7"/>
  <c r="H19" i="7" s="1"/>
  <c r="H20" i="7" s="1"/>
  <c r="U17" i="7"/>
  <c r="R17" i="7"/>
  <c r="P17" i="7"/>
  <c r="O17" i="7"/>
  <c r="I17" i="7"/>
  <c r="U16" i="7"/>
  <c r="R16" i="7"/>
  <c r="P16" i="7"/>
  <c r="O16" i="7"/>
  <c r="I16" i="7"/>
  <c r="H17" i="7" s="1"/>
  <c r="G18" i="7" s="1"/>
  <c r="G19" i="7" s="1"/>
  <c r="G20" i="7" s="1"/>
  <c r="G21" i="7" s="1"/>
  <c r="G22" i="7" s="1"/>
  <c r="G23" i="7" s="1"/>
  <c r="U15" i="7"/>
  <c r="R15" i="7"/>
  <c r="P15" i="7"/>
  <c r="I15" i="7"/>
  <c r="H16" i="7" s="1"/>
  <c r="G17" i="7" s="1"/>
  <c r="F18" i="7" s="1"/>
  <c r="F19" i="7" s="1"/>
  <c r="F20" i="7" s="1"/>
  <c r="F21" i="7" s="1"/>
  <c r="F22" i="7" s="1"/>
  <c r="F23" i="7" s="1"/>
  <c r="U14" i="7"/>
  <c r="R14" i="7"/>
  <c r="P14" i="7"/>
  <c r="I14" i="7"/>
  <c r="H15" i="7" s="1"/>
  <c r="G16" i="7" s="1"/>
  <c r="F17" i="7" s="1"/>
  <c r="E18" i="7" s="1"/>
  <c r="E19" i="7" s="1"/>
  <c r="E20" i="7" s="1"/>
  <c r="E21" i="7" s="1"/>
  <c r="E22" i="7" s="1"/>
  <c r="E23" i="7" s="1"/>
  <c r="R13" i="7"/>
  <c r="P13" i="7"/>
  <c r="O13" i="7"/>
  <c r="I13" i="7"/>
  <c r="H14" i="7" s="1"/>
  <c r="G15" i="7" s="1"/>
  <c r="F16" i="7" s="1"/>
  <c r="E17" i="7" s="1"/>
  <c r="D18" i="7" s="1"/>
  <c r="D19" i="7" s="1"/>
  <c r="D20" i="7" s="1"/>
  <c r="D21" i="7" s="1"/>
  <c r="D22" i="7" s="1"/>
  <c r="D23" i="7" s="1"/>
  <c r="AF12" i="7"/>
  <c r="AF13" i="7" s="1"/>
  <c r="AF14" i="7" s="1"/>
  <c r="AB12" i="7"/>
  <c r="P12" i="7"/>
  <c r="O12" i="7"/>
  <c r="I12" i="7"/>
  <c r="H13" i="7" s="1"/>
  <c r="G14" i="7" s="1"/>
  <c r="F15" i="7" s="1"/>
  <c r="E16" i="7" s="1"/>
  <c r="D17" i="7" s="1"/>
  <c r="C18" i="7" s="1"/>
  <c r="C19" i="7" s="1"/>
  <c r="P11" i="7"/>
  <c r="I11" i="7"/>
  <c r="H12" i="7" s="1"/>
  <c r="G13" i="7" s="1"/>
  <c r="F14" i="7" s="1"/>
  <c r="E15" i="7" s="1"/>
  <c r="D16" i="7" s="1"/>
  <c r="C17" i="7" s="1"/>
  <c r="I10" i="7"/>
  <c r="H11" i="7" s="1"/>
  <c r="G12" i="7" s="1"/>
  <c r="F13" i="7" s="1"/>
  <c r="E14" i="7" s="1"/>
  <c r="D15" i="7" s="1"/>
  <c r="C16" i="7" s="1"/>
  <c r="P9" i="7"/>
  <c r="O9" i="7"/>
  <c r="N9" i="7"/>
  <c r="I9" i="7"/>
  <c r="H10" i="7" s="1"/>
  <c r="G11" i="7" s="1"/>
  <c r="F12" i="7" s="1"/>
  <c r="E13" i="7" s="1"/>
  <c r="D14" i="7" s="1"/>
  <c r="C15" i="7" s="1"/>
  <c r="P8" i="7"/>
  <c r="O8" i="7"/>
  <c r="N8" i="7"/>
  <c r="I8" i="7"/>
  <c r="H9" i="7" s="1"/>
  <c r="G10" i="7" s="1"/>
  <c r="F11" i="7" s="1"/>
  <c r="E12" i="7" s="1"/>
  <c r="D13" i="7" s="1"/>
  <c r="C14" i="7" s="1"/>
  <c r="P7" i="7"/>
  <c r="O7" i="7"/>
  <c r="N7" i="7"/>
  <c r="I7" i="7"/>
  <c r="H8" i="7" s="1"/>
  <c r="G9" i="7" s="1"/>
  <c r="F10" i="7" s="1"/>
  <c r="E11" i="7" s="1"/>
  <c r="D12" i="7" s="1"/>
  <c r="C13" i="7" s="1"/>
  <c r="P6" i="7"/>
  <c r="O6" i="7"/>
  <c r="N6" i="7"/>
  <c r="I6" i="7"/>
  <c r="H7" i="7" s="1"/>
  <c r="G8" i="7" s="1"/>
  <c r="F9" i="7" s="1"/>
  <c r="E10" i="7" s="1"/>
  <c r="D11" i="7" s="1"/>
  <c r="C12" i="7" s="1"/>
  <c r="C6" i="7"/>
  <c r="P5" i="7"/>
  <c r="O5" i="7"/>
  <c r="N5" i="7"/>
  <c r="I5" i="7"/>
  <c r="H6" i="7" s="1"/>
  <c r="G7" i="7" s="1"/>
  <c r="F8" i="7" s="1"/>
  <c r="E9" i="7" s="1"/>
  <c r="D10" i="7" s="1"/>
  <c r="C11" i="7" s="1"/>
  <c r="E5" i="7"/>
  <c r="D6" i="7" s="1"/>
  <c r="C7" i="7" s="1"/>
  <c r="P4" i="7"/>
  <c r="O4" i="7"/>
  <c r="N4" i="7"/>
  <c r="I4" i="7"/>
  <c r="H5" i="7" s="1"/>
  <c r="G6" i="7" s="1"/>
  <c r="F7" i="7" s="1"/>
  <c r="E8" i="7" s="1"/>
  <c r="D9" i="7" s="1"/>
  <c r="C10" i="7" s="1"/>
  <c r="H4" i="7"/>
  <c r="G5" i="7" s="1"/>
  <c r="F6" i="7" s="1"/>
  <c r="E7" i="7" s="1"/>
  <c r="D8" i="7" s="1"/>
  <c r="C9" i="7" s="1"/>
  <c r="G4" i="7"/>
  <c r="F5" i="7" s="1"/>
  <c r="E6" i="7" s="1"/>
  <c r="D7" i="7" s="1"/>
  <c r="C8" i="7" s="1"/>
  <c r="F4" i="7"/>
  <c r="E4" i="7"/>
  <c r="D5" i="7" s="1"/>
  <c r="D4" i="7"/>
  <c r="C5" i="7" s="1"/>
  <c r="C4" i="7"/>
  <c r="P3" i="7"/>
  <c r="O3" i="7"/>
  <c r="N3" i="7"/>
  <c r="P2" i="7"/>
  <c r="O2" i="7"/>
  <c r="N2" i="7"/>
  <c r="Z1" i="7"/>
  <c r="P1" i="7"/>
  <c r="O1" i="7"/>
  <c r="N1" i="7"/>
  <c r="Q45" i="5"/>
  <c r="Q44" i="5"/>
  <c r="Q43" i="5"/>
  <c r="Q42" i="5"/>
  <c r="Q41" i="5"/>
  <c r="Q40" i="5"/>
  <c r="Q39" i="5"/>
  <c r="Q38" i="5"/>
  <c r="F54" i="6"/>
  <c r="E54" i="6"/>
  <c r="D54" i="6"/>
  <c r="C54" i="6"/>
  <c r="F53" i="6"/>
  <c r="R52" i="6" s="1"/>
  <c r="E53" i="6"/>
  <c r="O52" i="6" s="1"/>
  <c r="D53" i="6"/>
  <c r="E58" i="6" s="1"/>
  <c r="C53" i="6"/>
  <c r="K52" i="6"/>
  <c r="H52" i="6"/>
  <c r="F52" i="6"/>
  <c r="L52" i="6" s="1"/>
  <c r="E52" i="6"/>
  <c r="I52" i="6" s="1"/>
  <c r="D52" i="6"/>
  <c r="C52" i="6"/>
  <c r="N51" i="6" s="1"/>
  <c r="T51" i="6"/>
  <c r="Q51" i="6"/>
  <c r="H51" i="6"/>
  <c r="F51" i="6"/>
  <c r="U51" i="6" s="1"/>
  <c r="E51" i="6"/>
  <c r="I51" i="6" s="1"/>
  <c r="D51" i="6"/>
  <c r="C51" i="6"/>
  <c r="I47" i="6"/>
  <c r="P46" i="6"/>
  <c r="O46" i="6"/>
  <c r="I46" i="6"/>
  <c r="H47" i="6" s="1"/>
  <c r="P45" i="6"/>
  <c r="O45" i="6"/>
  <c r="I45" i="6"/>
  <c r="H46" i="6" s="1"/>
  <c r="G47" i="6" s="1"/>
  <c r="P44" i="6"/>
  <c r="O44" i="6"/>
  <c r="I44" i="6"/>
  <c r="H45" i="6" s="1"/>
  <c r="G46" i="6" s="1"/>
  <c r="F47" i="6" s="1"/>
  <c r="U43" i="6"/>
  <c r="T43" i="6"/>
  <c r="P43" i="6"/>
  <c r="O43" i="6"/>
  <c r="I43" i="6"/>
  <c r="H44" i="6" s="1"/>
  <c r="G45" i="6" s="1"/>
  <c r="F46" i="6" s="1"/>
  <c r="E47" i="6" s="1"/>
  <c r="H43" i="6"/>
  <c r="G44" i="6" s="1"/>
  <c r="F45" i="6" s="1"/>
  <c r="E46" i="6" s="1"/>
  <c r="D47" i="6" s="1"/>
  <c r="U42" i="6"/>
  <c r="T42" i="6"/>
  <c r="S43" i="6" s="1"/>
  <c r="P42" i="6"/>
  <c r="O42" i="6"/>
  <c r="I42" i="6"/>
  <c r="U41" i="6"/>
  <c r="P41" i="6"/>
  <c r="I41" i="6"/>
  <c r="H42" i="6" s="1"/>
  <c r="G43" i="6" s="1"/>
  <c r="F44" i="6" s="1"/>
  <c r="E45" i="6" s="1"/>
  <c r="D46" i="6" s="1"/>
  <c r="C47" i="6" s="1"/>
  <c r="P40" i="6"/>
  <c r="I40" i="6"/>
  <c r="H41" i="6" s="1"/>
  <c r="G42" i="6" s="1"/>
  <c r="F43" i="6" s="1"/>
  <c r="E44" i="6" s="1"/>
  <c r="D45" i="6" s="1"/>
  <c r="C46" i="6" s="1"/>
  <c r="U39" i="6"/>
  <c r="U40" i="6" s="1"/>
  <c r="T41" i="6" s="1"/>
  <c r="S42" i="6" s="1"/>
  <c r="T39" i="6"/>
  <c r="T40" i="6" s="1"/>
  <c r="S41" i="6" s="1"/>
  <c r="P39" i="6"/>
  <c r="O39" i="6"/>
  <c r="I39" i="6"/>
  <c r="H40" i="6" s="1"/>
  <c r="G41" i="6" s="1"/>
  <c r="F42" i="6" s="1"/>
  <c r="E43" i="6" s="1"/>
  <c r="D44" i="6" s="1"/>
  <c r="C45" i="6" s="1"/>
  <c r="H39" i="6"/>
  <c r="G40" i="6" s="1"/>
  <c r="F41" i="6" s="1"/>
  <c r="E42" i="6" s="1"/>
  <c r="D43" i="6" s="1"/>
  <c r="C44" i="6" s="1"/>
  <c r="K44" i="6" s="1"/>
  <c r="U38" i="6"/>
  <c r="T38" i="6"/>
  <c r="S39" i="6" s="1"/>
  <c r="S40" i="6" s="1"/>
  <c r="P38" i="6"/>
  <c r="O38" i="6"/>
  <c r="I38" i="6"/>
  <c r="P37" i="6"/>
  <c r="I37" i="6"/>
  <c r="H38" i="6" s="1"/>
  <c r="G39" i="6" s="1"/>
  <c r="F40" i="6" s="1"/>
  <c r="E41" i="6" s="1"/>
  <c r="D42" i="6" s="1"/>
  <c r="C43" i="6" s="1"/>
  <c r="I36" i="6"/>
  <c r="H37" i="6" s="1"/>
  <c r="G38" i="6" s="1"/>
  <c r="F39" i="6" s="1"/>
  <c r="E40" i="6" s="1"/>
  <c r="D41" i="6" s="1"/>
  <c r="C42" i="6" s="1"/>
  <c r="P35" i="6"/>
  <c r="O35" i="6"/>
  <c r="N35" i="6"/>
  <c r="I35" i="6"/>
  <c r="H36" i="6" s="1"/>
  <c r="G37" i="6" s="1"/>
  <c r="F38" i="6" s="1"/>
  <c r="E39" i="6" s="1"/>
  <c r="D40" i="6" s="1"/>
  <c r="C41" i="6" s="1"/>
  <c r="P34" i="6"/>
  <c r="O34" i="6"/>
  <c r="N34" i="6"/>
  <c r="I34" i="6"/>
  <c r="H35" i="6" s="1"/>
  <c r="G36" i="6" s="1"/>
  <c r="F37" i="6" s="1"/>
  <c r="E38" i="6" s="1"/>
  <c r="D39" i="6" s="1"/>
  <c r="C40" i="6" s="1"/>
  <c r="P33" i="6"/>
  <c r="O33" i="6"/>
  <c r="N33" i="6"/>
  <c r="I33" i="6"/>
  <c r="H34" i="6" s="1"/>
  <c r="G35" i="6" s="1"/>
  <c r="F36" i="6" s="1"/>
  <c r="E37" i="6" s="1"/>
  <c r="D38" i="6" s="1"/>
  <c r="C39" i="6" s="1"/>
  <c r="P32" i="6"/>
  <c r="O32" i="6"/>
  <c r="N32" i="6"/>
  <c r="I32" i="6"/>
  <c r="H33" i="6" s="1"/>
  <c r="G34" i="6" s="1"/>
  <c r="F35" i="6" s="1"/>
  <c r="E36" i="6" s="1"/>
  <c r="D37" i="6" s="1"/>
  <c r="C38" i="6" s="1"/>
  <c r="K38" i="6" s="1"/>
  <c r="P31" i="6"/>
  <c r="O31" i="6"/>
  <c r="N31" i="6"/>
  <c r="I31" i="6"/>
  <c r="H32" i="6" s="1"/>
  <c r="G33" i="6" s="1"/>
  <c r="F34" i="6" s="1"/>
  <c r="E35" i="6" s="1"/>
  <c r="D36" i="6" s="1"/>
  <c r="C37" i="6" s="1"/>
  <c r="P30" i="6"/>
  <c r="O30" i="6"/>
  <c r="N30" i="6"/>
  <c r="I30" i="6"/>
  <c r="H31" i="6" s="1"/>
  <c r="G32" i="6" s="1"/>
  <c r="F33" i="6" s="1"/>
  <c r="E34" i="6" s="1"/>
  <c r="D35" i="6" s="1"/>
  <c r="C36" i="6" s="1"/>
  <c r="H30" i="6"/>
  <c r="G31" i="6" s="1"/>
  <c r="F32" i="6" s="1"/>
  <c r="E33" i="6" s="1"/>
  <c r="D34" i="6" s="1"/>
  <c r="C35" i="6" s="1"/>
  <c r="G30" i="6"/>
  <c r="F31" i="6" s="1"/>
  <c r="E32" i="6" s="1"/>
  <c r="D33" i="6" s="1"/>
  <c r="C34" i="6" s="1"/>
  <c r="F30" i="6"/>
  <c r="E31" i="6" s="1"/>
  <c r="D32" i="6" s="1"/>
  <c r="C33" i="6" s="1"/>
  <c r="E30" i="6"/>
  <c r="D31" i="6" s="1"/>
  <c r="C32" i="6" s="1"/>
  <c r="D30" i="6"/>
  <c r="C31" i="6" s="1"/>
  <c r="C30" i="6"/>
  <c r="P29" i="6"/>
  <c r="O29" i="6"/>
  <c r="N29" i="6"/>
  <c r="P28" i="6"/>
  <c r="O28" i="6"/>
  <c r="N28" i="6"/>
  <c r="U27" i="6"/>
  <c r="P27" i="6"/>
  <c r="O27" i="6"/>
  <c r="N27" i="6"/>
  <c r="I20" i="6"/>
  <c r="E20" i="6"/>
  <c r="I19" i="6"/>
  <c r="H20" i="6" s="1"/>
  <c r="I18" i="6"/>
  <c r="H19" i="6" s="1"/>
  <c r="G20" i="6" s="1"/>
  <c r="D18" i="6"/>
  <c r="C19" i="6" s="1"/>
  <c r="K19" i="6" s="1"/>
  <c r="Y20" i="6" s="1"/>
  <c r="X21" i="6" s="1"/>
  <c r="I17" i="6"/>
  <c r="H18" i="6" s="1"/>
  <c r="G19" i="6" s="1"/>
  <c r="F20" i="6" s="1"/>
  <c r="I16" i="6"/>
  <c r="H17" i="6" s="1"/>
  <c r="G18" i="6" s="1"/>
  <c r="F19" i="6" s="1"/>
  <c r="G16" i="6"/>
  <c r="F17" i="6" s="1"/>
  <c r="E18" i="6" s="1"/>
  <c r="D19" i="6" s="1"/>
  <c r="C20" i="6" s="1"/>
  <c r="E16" i="6"/>
  <c r="D17" i="6" s="1"/>
  <c r="C18" i="6" s="1"/>
  <c r="D16" i="6"/>
  <c r="C17" i="6" s="1"/>
  <c r="I15" i="6"/>
  <c r="H16" i="6" s="1"/>
  <c r="G17" i="6" s="1"/>
  <c r="F18" i="6" s="1"/>
  <c r="E19" i="6" s="1"/>
  <c r="D20" i="6" s="1"/>
  <c r="H15" i="6"/>
  <c r="V14" i="6"/>
  <c r="U15" i="6" s="1"/>
  <c r="T16" i="6" s="1"/>
  <c r="S17" i="6" s="1"/>
  <c r="S18" i="6" s="1"/>
  <c r="R19" i="6" s="1"/>
  <c r="Q20" i="6" s="1"/>
  <c r="P21" i="6" s="1"/>
  <c r="I14" i="6"/>
  <c r="R13" i="6"/>
  <c r="R14" i="6" s="1"/>
  <c r="Q15" i="6" s="1"/>
  <c r="P16" i="6" s="1"/>
  <c r="Q13" i="6"/>
  <c r="Q14" i="6" s="1"/>
  <c r="P15" i="6" s="1"/>
  <c r="I13" i="6"/>
  <c r="H14" i="6" s="1"/>
  <c r="G15" i="6" s="1"/>
  <c r="F16" i="6" s="1"/>
  <c r="E17" i="6" s="1"/>
  <c r="W12" i="6"/>
  <c r="V13" i="6" s="1"/>
  <c r="V12" i="6"/>
  <c r="U13" i="6" s="1"/>
  <c r="U14" i="6" s="1"/>
  <c r="T15" i="6" s="1"/>
  <c r="S16" i="6" s="1"/>
  <c r="R17" i="6" s="1"/>
  <c r="R18" i="6" s="1"/>
  <c r="Q19" i="6" s="1"/>
  <c r="P20" i="6" s="1"/>
  <c r="U12" i="6"/>
  <c r="T13" i="6" s="1"/>
  <c r="T14" i="6" s="1"/>
  <c r="S15" i="6" s="1"/>
  <c r="R16" i="6" s="1"/>
  <c r="Q17" i="6" s="1"/>
  <c r="Q18" i="6" s="1"/>
  <c r="P19" i="6" s="1"/>
  <c r="T12" i="6"/>
  <c r="S13" i="6" s="1"/>
  <c r="S14" i="6" s="1"/>
  <c r="R15" i="6" s="1"/>
  <c r="Q16" i="6" s="1"/>
  <c r="P17" i="6" s="1"/>
  <c r="P18" i="6" s="1"/>
  <c r="S12" i="6"/>
  <c r="R12" i="6"/>
  <c r="Q12" i="6"/>
  <c r="P13" i="6" s="1"/>
  <c r="P14" i="6" s="1"/>
  <c r="P12" i="6"/>
  <c r="I12" i="6"/>
  <c r="H13" i="6" s="1"/>
  <c r="G14" i="6" s="1"/>
  <c r="F15" i="6" s="1"/>
  <c r="H12" i="6"/>
  <c r="G13" i="6" s="1"/>
  <c r="F14" i="6" s="1"/>
  <c r="E15" i="6" s="1"/>
  <c r="G12" i="6"/>
  <c r="F13" i="6" s="1"/>
  <c r="E14" i="6" s="1"/>
  <c r="D15" i="6" s="1"/>
  <c r="C16" i="6" s="1"/>
  <c r="K16" i="6" s="1"/>
  <c r="Y17" i="6" s="1"/>
  <c r="Y18" i="6" s="1"/>
  <c r="X19" i="6" s="1"/>
  <c r="W20" i="6" s="1"/>
  <c r="V21" i="6" s="1"/>
  <c r="I11" i="6"/>
  <c r="H11" i="6"/>
  <c r="G11" i="6"/>
  <c r="F12" i="6" s="1"/>
  <c r="E13" i="6" s="1"/>
  <c r="D14" i="6" s="1"/>
  <c r="C15" i="6" s="1"/>
  <c r="I10" i="6"/>
  <c r="C10" i="6"/>
  <c r="I9" i="6"/>
  <c r="H10" i="6" s="1"/>
  <c r="I8" i="6"/>
  <c r="H9" i="6" s="1"/>
  <c r="G10" i="6" s="1"/>
  <c r="F11" i="6" s="1"/>
  <c r="E12" i="6" s="1"/>
  <c r="D13" i="6" s="1"/>
  <c r="C14" i="6" s="1"/>
  <c r="C8" i="6"/>
  <c r="I7" i="6"/>
  <c r="H8" i="6" s="1"/>
  <c r="G9" i="6" s="1"/>
  <c r="F10" i="6" s="1"/>
  <c r="E11" i="6" s="1"/>
  <c r="D12" i="6" s="1"/>
  <c r="C13" i="6" s="1"/>
  <c r="I6" i="6"/>
  <c r="H7" i="6" s="1"/>
  <c r="G8" i="6" s="1"/>
  <c r="F9" i="6" s="1"/>
  <c r="E10" i="6" s="1"/>
  <c r="D11" i="6" s="1"/>
  <c r="C12" i="6" s="1"/>
  <c r="K12" i="6" s="1"/>
  <c r="Y13" i="6" s="1"/>
  <c r="Y14" i="6" s="1"/>
  <c r="X15" i="6" s="1"/>
  <c r="W16" i="6" s="1"/>
  <c r="V17" i="6" s="1"/>
  <c r="V18" i="6" s="1"/>
  <c r="U19" i="6" s="1"/>
  <c r="T20" i="6" s="1"/>
  <c r="S21" i="6" s="1"/>
  <c r="H6" i="6"/>
  <c r="G7" i="6" s="1"/>
  <c r="F8" i="6" s="1"/>
  <c r="E9" i="6" s="1"/>
  <c r="D10" i="6" s="1"/>
  <c r="C11" i="6" s="1"/>
  <c r="G6" i="6"/>
  <c r="F7" i="6" s="1"/>
  <c r="E8" i="6" s="1"/>
  <c r="D9" i="6" s="1"/>
  <c r="F6" i="6"/>
  <c r="E7" i="6" s="1"/>
  <c r="D8" i="6" s="1"/>
  <c r="C9" i="6" s="1"/>
  <c r="E6" i="6"/>
  <c r="D7" i="6" s="1"/>
  <c r="I5" i="6"/>
  <c r="H5" i="6"/>
  <c r="G5" i="6"/>
  <c r="F5" i="6"/>
  <c r="E5" i="6"/>
  <c r="D6" i="6" s="1"/>
  <c r="C7" i="6" s="1"/>
  <c r="D5" i="6"/>
  <c r="C6" i="6" s="1"/>
  <c r="I4" i="6"/>
  <c r="H4" i="6"/>
  <c r="G4" i="6"/>
  <c r="F4" i="6"/>
  <c r="E4" i="6"/>
  <c r="D4" i="6"/>
  <c r="C5" i="6" s="1"/>
  <c r="C4" i="6"/>
  <c r="R1" i="6"/>
  <c r="R46" i="5"/>
  <c r="R42" i="5"/>
  <c r="O57" i="5"/>
  <c r="N46" i="5"/>
  <c r="N45" i="5"/>
  <c r="N44" i="5"/>
  <c r="N42" i="5"/>
  <c r="N41" i="5"/>
  <c r="N40" i="5"/>
  <c r="N37" i="5"/>
  <c r="N38" i="5"/>
  <c r="N36" i="5"/>
  <c r="I47" i="5"/>
  <c r="H47" i="5"/>
  <c r="G47" i="5"/>
  <c r="F47" i="5"/>
  <c r="E47" i="5"/>
  <c r="D47" i="5"/>
  <c r="C47" i="5"/>
  <c r="Y37" i="5"/>
  <c r="Y38" i="5"/>
  <c r="Y39" i="5"/>
  <c r="F58" i="5"/>
  <c r="P36" i="5"/>
  <c r="O41" i="5"/>
  <c r="O40" i="5"/>
  <c r="O37" i="5"/>
  <c r="O36" i="5"/>
  <c r="K46" i="5"/>
  <c r="K45" i="5"/>
  <c r="K44" i="5"/>
  <c r="K42" i="5"/>
  <c r="K41" i="5"/>
  <c r="K40" i="5"/>
  <c r="K38" i="5"/>
  <c r="K37" i="5"/>
  <c r="K36" i="5"/>
  <c r="T56" i="5"/>
  <c r="U52" i="5"/>
  <c r="U51" i="5"/>
  <c r="T52" i="5"/>
  <c r="T51" i="5"/>
  <c r="Q56" i="5"/>
  <c r="P56" i="5"/>
  <c r="N57" i="5"/>
  <c r="O56" i="5"/>
  <c r="N56" i="5"/>
  <c r="E56" i="5"/>
  <c r="R52" i="5"/>
  <c r="R51" i="5"/>
  <c r="Q52" i="5"/>
  <c r="Q51" i="5"/>
  <c r="O52" i="5"/>
  <c r="N52" i="5"/>
  <c r="O51" i="5"/>
  <c r="N51" i="5"/>
  <c r="L52" i="5"/>
  <c r="K52" i="5"/>
  <c r="L51" i="5"/>
  <c r="K51" i="5"/>
  <c r="I52" i="5"/>
  <c r="I51" i="5"/>
  <c r="H52" i="5"/>
  <c r="H51" i="5"/>
  <c r="F61" i="5"/>
  <c r="G61" i="5"/>
  <c r="D65" i="5"/>
  <c r="D62" i="5"/>
  <c r="E62" i="5"/>
  <c r="E61" i="5"/>
  <c r="D61" i="5"/>
  <c r="K56" i="5"/>
  <c r="J56" i="5"/>
  <c r="I56" i="5"/>
  <c r="H56" i="5"/>
  <c r="G56" i="5"/>
  <c r="D57" i="5"/>
  <c r="E57" i="5"/>
  <c r="F57" i="5"/>
  <c r="D58" i="5"/>
  <c r="E58" i="5"/>
  <c r="F56" i="5"/>
  <c r="D56" i="5"/>
  <c r="F54" i="5"/>
  <c r="E54" i="5"/>
  <c r="D54" i="5"/>
  <c r="C54" i="5"/>
  <c r="F53" i="5"/>
  <c r="E53" i="5"/>
  <c r="E52" i="5"/>
  <c r="F52" i="5"/>
  <c r="D53" i="5"/>
  <c r="C53" i="5"/>
  <c r="D52" i="5"/>
  <c r="C52" i="5"/>
  <c r="F51" i="5"/>
  <c r="E51" i="5"/>
  <c r="D51" i="5"/>
  <c r="C51" i="5"/>
  <c r="F45" i="5"/>
  <c r="E46" i="5" s="1"/>
  <c r="E45" i="5"/>
  <c r="D46" i="5" s="1"/>
  <c r="F44" i="5"/>
  <c r="E43" i="5"/>
  <c r="D44" i="5" s="1"/>
  <c r="C45" i="5" s="1"/>
  <c r="F42" i="5"/>
  <c r="E41" i="5"/>
  <c r="D42" i="5" s="1"/>
  <c r="C43" i="5" s="1"/>
  <c r="F40" i="5"/>
  <c r="F39" i="5"/>
  <c r="E40" i="5" s="1"/>
  <c r="D41" i="5" s="1"/>
  <c r="C42" i="5" s="1"/>
  <c r="F37" i="5"/>
  <c r="E38" i="5" s="1"/>
  <c r="D39" i="5" s="1"/>
  <c r="C40" i="5" s="1"/>
  <c r="F36" i="5"/>
  <c r="E37" i="5" s="1"/>
  <c r="D38" i="5" s="1"/>
  <c r="C39" i="5" s="1"/>
  <c r="E35" i="5"/>
  <c r="D36" i="5" s="1"/>
  <c r="C37" i="5" s="1"/>
  <c r="F34" i="5"/>
  <c r="F33" i="5"/>
  <c r="E34" i="5" s="1"/>
  <c r="D35" i="5" s="1"/>
  <c r="C36" i="5" s="1"/>
  <c r="E33" i="5"/>
  <c r="D34" i="5" s="1"/>
  <c r="C35" i="5" s="1"/>
  <c r="F32" i="5"/>
  <c r="F31" i="5"/>
  <c r="E32" i="5" s="1"/>
  <c r="D33" i="5" s="1"/>
  <c r="C34" i="5" s="1"/>
  <c r="E31" i="5"/>
  <c r="D32" i="5" s="1"/>
  <c r="C33" i="5" s="1"/>
  <c r="D31" i="5"/>
  <c r="C32" i="5" s="1"/>
  <c r="C31" i="5"/>
  <c r="F30" i="5"/>
  <c r="E30" i="5"/>
  <c r="D30" i="5"/>
  <c r="C30" i="5"/>
  <c r="P46" i="5"/>
  <c r="O46" i="5"/>
  <c r="I46" i="5"/>
  <c r="R45" i="5"/>
  <c r="P45" i="5"/>
  <c r="O45" i="5"/>
  <c r="I45" i="5"/>
  <c r="H46" i="5" s="1"/>
  <c r="R44" i="5"/>
  <c r="P44" i="5"/>
  <c r="O44" i="5"/>
  <c r="I44" i="5"/>
  <c r="H45" i="5" s="1"/>
  <c r="G46" i="5" s="1"/>
  <c r="H44" i="5"/>
  <c r="G45" i="5" s="1"/>
  <c r="F46" i="5" s="1"/>
  <c r="R43" i="5"/>
  <c r="P43" i="5"/>
  <c r="O43" i="5"/>
  <c r="I43" i="5"/>
  <c r="P42" i="5"/>
  <c r="O42" i="5"/>
  <c r="I42" i="5"/>
  <c r="H43" i="5" s="1"/>
  <c r="G44" i="5" s="1"/>
  <c r="H42" i="5"/>
  <c r="G43" i="5" s="1"/>
  <c r="R41" i="5"/>
  <c r="P41" i="5"/>
  <c r="I41" i="5"/>
  <c r="R40" i="5"/>
  <c r="P40" i="5"/>
  <c r="I40" i="5"/>
  <c r="H41" i="5" s="1"/>
  <c r="G42" i="5" s="1"/>
  <c r="F43" i="5" s="1"/>
  <c r="E44" i="5" s="1"/>
  <c r="D45" i="5" s="1"/>
  <c r="C46" i="5" s="1"/>
  <c r="R39" i="5"/>
  <c r="P39" i="5"/>
  <c r="O39" i="5"/>
  <c r="I39" i="5"/>
  <c r="H40" i="5" s="1"/>
  <c r="G41" i="5" s="1"/>
  <c r="AA38" i="5"/>
  <c r="Z39" i="5" s="1"/>
  <c r="Z38" i="5"/>
  <c r="W38" i="5"/>
  <c r="V39" i="5" s="1"/>
  <c r="V40" i="5" s="1"/>
  <c r="U41" i="5" s="1"/>
  <c r="T42" i="5" s="1"/>
  <c r="S43" i="5" s="1"/>
  <c r="V38" i="5"/>
  <c r="U39" i="5" s="1"/>
  <c r="U40" i="5" s="1"/>
  <c r="T41" i="5" s="1"/>
  <c r="S42" i="5" s="1"/>
  <c r="U38" i="5"/>
  <c r="T39" i="5" s="1"/>
  <c r="T40" i="5" s="1"/>
  <c r="S41" i="5" s="1"/>
  <c r="T38" i="5"/>
  <c r="S39" i="5" s="1"/>
  <c r="S40" i="5" s="1"/>
  <c r="P38" i="5"/>
  <c r="O38" i="5"/>
  <c r="I38" i="5"/>
  <c r="H39" i="5" s="1"/>
  <c r="G40" i="5" s="1"/>
  <c r="F41" i="5" s="1"/>
  <c r="E42" i="5" s="1"/>
  <c r="D43" i="5" s="1"/>
  <c r="C44" i="5" s="1"/>
  <c r="P37" i="5"/>
  <c r="I37" i="5"/>
  <c r="H38" i="5" s="1"/>
  <c r="G39" i="5" s="1"/>
  <c r="I36" i="5"/>
  <c r="H37" i="5" s="1"/>
  <c r="G38" i="5" s="1"/>
  <c r="H36" i="5"/>
  <c r="G37" i="5" s="1"/>
  <c r="F38" i="5" s="1"/>
  <c r="E39" i="5" s="1"/>
  <c r="D40" i="5" s="1"/>
  <c r="C41" i="5" s="1"/>
  <c r="P35" i="5"/>
  <c r="O35" i="5"/>
  <c r="N35" i="5"/>
  <c r="I35" i="5"/>
  <c r="P34" i="5"/>
  <c r="O34" i="5"/>
  <c r="N34" i="5"/>
  <c r="I34" i="5"/>
  <c r="H35" i="5" s="1"/>
  <c r="G36" i="5" s="1"/>
  <c r="P33" i="5"/>
  <c r="O33" i="5"/>
  <c r="N33" i="5"/>
  <c r="I33" i="5"/>
  <c r="H34" i="5" s="1"/>
  <c r="G35" i="5" s="1"/>
  <c r="H33" i="5"/>
  <c r="G34" i="5" s="1"/>
  <c r="F35" i="5" s="1"/>
  <c r="E36" i="5" s="1"/>
  <c r="D37" i="5" s="1"/>
  <c r="C38" i="5" s="1"/>
  <c r="G33" i="5"/>
  <c r="P32" i="5"/>
  <c r="O32" i="5"/>
  <c r="N32" i="5"/>
  <c r="I32" i="5"/>
  <c r="H32" i="5"/>
  <c r="P31" i="5"/>
  <c r="O31" i="5"/>
  <c r="N31" i="5"/>
  <c r="I31" i="5"/>
  <c r="G31" i="5"/>
  <c r="P30" i="5"/>
  <c r="O30" i="5"/>
  <c r="N30" i="5"/>
  <c r="I30" i="5"/>
  <c r="H31" i="5" s="1"/>
  <c r="G32" i="5" s="1"/>
  <c r="H30" i="5"/>
  <c r="G30" i="5"/>
  <c r="P29" i="5"/>
  <c r="O29" i="5"/>
  <c r="N29" i="5"/>
  <c r="P28" i="5"/>
  <c r="O28" i="5"/>
  <c r="N28" i="5"/>
  <c r="U27" i="5"/>
  <c r="P27" i="5"/>
  <c r="O27" i="5"/>
  <c r="N27" i="5"/>
  <c r="R20" i="5"/>
  <c r="P20" i="5"/>
  <c r="O20" i="5"/>
  <c r="I20" i="5"/>
  <c r="H20" i="5"/>
  <c r="R19" i="5"/>
  <c r="P19" i="5"/>
  <c r="O19" i="5"/>
  <c r="I19" i="5"/>
  <c r="H19" i="5"/>
  <c r="G20" i="5" s="1"/>
  <c r="R18" i="5"/>
  <c r="P18" i="5"/>
  <c r="O18" i="5"/>
  <c r="I18" i="5"/>
  <c r="R17" i="5"/>
  <c r="P17" i="5"/>
  <c r="O17" i="5"/>
  <c r="I17" i="5"/>
  <c r="H18" i="5" s="1"/>
  <c r="G19" i="5" s="1"/>
  <c r="F20" i="5" s="1"/>
  <c r="H17" i="5"/>
  <c r="G18" i="5" s="1"/>
  <c r="F19" i="5" s="1"/>
  <c r="E20" i="5" s="1"/>
  <c r="G17" i="5"/>
  <c r="F18" i="5" s="1"/>
  <c r="E19" i="5" s="1"/>
  <c r="D20" i="5" s="1"/>
  <c r="R16" i="5"/>
  <c r="P16" i="5"/>
  <c r="O16" i="5"/>
  <c r="I16" i="5"/>
  <c r="H16" i="5"/>
  <c r="G16" i="5"/>
  <c r="F17" i="5" s="1"/>
  <c r="E18" i="5" s="1"/>
  <c r="D19" i="5" s="1"/>
  <c r="C20" i="5" s="1"/>
  <c r="K20" i="5" s="1"/>
  <c r="F16" i="5"/>
  <c r="E17" i="5" s="1"/>
  <c r="D18" i="5" s="1"/>
  <c r="C19" i="5" s="1"/>
  <c r="R15" i="5"/>
  <c r="P15" i="5"/>
  <c r="I15" i="5"/>
  <c r="H15" i="5"/>
  <c r="G15" i="5"/>
  <c r="Z14" i="5"/>
  <c r="R14" i="5"/>
  <c r="P14" i="5"/>
  <c r="I14" i="5"/>
  <c r="H14" i="5"/>
  <c r="AA13" i="5"/>
  <c r="AA14" i="5" s="1"/>
  <c r="Z15" i="5" s="1"/>
  <c r="Z13" i="5"/>
  <c r="T13" i="5"/>
  <c r="T14" i="5" s="1"/>
  <c r="R13" i="5"/>
  <c r="P13" i="5"/>
  <c r="O13" i="5"/>
  <c r="I13" i="5"/>
  <c r="AA12" i="5"/>
  <c r="Z12" i="5"/>
  <c r="W12" i="5"/>
  <c r="V13" i="5" s="1"/>
  <c r="V14" i="5" s="1"/>
  <c r="U15" i="5" s="1"/>
  <c r="T16" i="5" s="1"/>
  <c r="V12" i="5"/>
  <c r="U13" i="5" s="1"/>
  <c r="U14" i="5" s="1"/>
  <c r="T15" i="5" s="1"/>
  <c r="U12" i="5"/>
  <c r="T12" i="5"/>
  <c r="P12" i="5"/>
  <c r="O12" i="5"/>
  <c r="I12" i="5"/>
  <c r="H13" i="5" s="1"/>
  <c r="G14" i="5" s="1"/>
  <c r="F15" i="5" s="1"/>
  <c r="E16" i="5" s="1"/>
  <c r="D17" i="5" s="1"/>
  <c r="C18" i="5" s="1"/>
  <c r="G12" i="5"/>
  <c r="F13" i="5" s="1"/>
  <c r="E14" i="5" s="1"/>
  <c r="D15" i="5" s="1"/>
  <c r="C16" i="5" s="1"/>
  <c r="P11" i="5"/>
  <c r="I11" i="5"/>
  <c r="H12" i="5" s="1"/>
  <c r="G13" i="5" s="1"/>
  <c r="F14" i="5" s="1"/>
  <c r="E15" i="5" s="1"/>
  <c r="D16" i="5" s="1"/>
  <c r="C17" i="5" s="1"/>
  <c r="H11" i="5"/>
  <c r="G11" i="5"/>
  <c r="F12" i="5" s="1"/>
  <c r="E13" i="5" s="1"/>
  <c r="D14" i="5" s="1"/>
  <c r="C15" i="5" s="1"/>
  <c r="I10" i="5"/>
  <c r="H10" i="5"/>
  <c r="P9" i="5"/>
  <c r="O9" i="5"/>
  <c r="N9" i="5"/>
  <c r="I9" i="5"/>
  <c r="P8" i="5"/>
  <c r="O8" i="5"/>
  <c r="N8" i="5"/>
  <c r="I8" i="5"/>
  <c r="H9" i="5" s="1"/>
  <c r="G10" i="5" s="1"/>
  <c r="F11" i="5" s="1"/>
  <c r="E12" i="5" s="1"/>
  <c r="D13" i="5" s="1"/>
  <c r="C14" i="5" s="1"/>
  <c r="H8" i="5"/>
  <c r="G9" i="5" s="1"/>
  <c r="F10" i="5" s="1"/>
  <c r="E11" i="5" s="1"/>
  <c r="D12" i="5" s="1"/>
  <c r="C13" i="5" s="1"/>
  <c r="P7" i="5"/>
  <c r="O7" i="5"/>
  <c r="N7" i="5"/>
  <c r="I7" i="5"/>
  <c r="H7" i="5"/>
  <c r="G8" i="5" s="1"/>
  <c r="F9" i="5" s="1"/>
  <c r="E10" i="5" s="1"/>
  <c r="D11" i="5" s="1"/>
  <c r="C12" i="5" s="1"/>
  <c r="P6" i="5"/>
  <c r="O6" i="5"/>
  <c r="N6" i="5"/>
  <c r="I6" i="5"/>
  <c r="H6" i="5"/>
  <c r="G7" i="5" s="1"/>
  <c r="F8" i="5" s="1"/>
  <c r="E9" i="5" s="1"/>
  <c r="D10" i="5" s="1"/>
  <c r="C11" i="5" s="1"/>
  <c r="P5" i="5"/>
  <c r="O5" i="5"/>
  <c r="N5" i="5"/>
  <c r="I5" i="5"/>
  <c r="F5" i="5"/>
  <c r="E6" i="5" s="1"/>
  <c r="D7" i="5" s="1"/>
  <c r="C8" i="5" s="1"/>
  <c r="D5" i="5"/>
  <c r="C6" i="5" s="1"/>
  <c r="P4" i="5"/>
  <c r="O4" i="5"/>
  <c r="N4" i="5"/>
  <c r="I4" i="5"/>
  <c r="H5" i="5" s="1"/>
  <c r="G6" i="5" s="1"/>
  <c r="F7" i="5" s="1"/>
  <c r="E8" i="5" s="1"/>
  <c r="D9" i="5" s="1"/>
  <c r="C10" i="5" s="1"/>
  <c r="H4" i="5"/>
  <c r="G5" i="5" s="1"/>
  <c r="F6" i="5" s="1"/>
  <c r="E7" i="5" s="1"/>
  <c r="D8" i="5" s="1"/>
  <c r="C9" i="5" s="1"/>
  <c r="G4" i="5"/>
  <c r="F4" i="5"/>
  <c r="E5" i="5" s="1"/>
  <c r="D6" i="5" s="1"/>
  <c r="C7" i="5" s="1"/>
  <c r="E4" i="5"/>
  <c r="D4" i="5"/>
  <c r="C5" i="5" s="1"/>
  <c r="C4" i="5"/>
  <c r="P3" i="5"/>
  <c r="O3" i="5"/>
  <c r="N3" i="5"/>
  <c r="P2" i="5"/>
  <c r="O2" i="5"/>
  <c r="N2" i="5"/>
  <c r="U1" i="5"/>
  <c r="P1" i="5"/>
  <c r="O1" i="5"/>
  <c r="N1" i="5"/>
  <c r="T15" i="4"/>
  <c r="T16" i="4"/>
  <c r="T17" i="4"/>
  <c r="T18" i="4"/>
  <c r="T19" i="4"/>
  <c r="T20" i="4"/>
  <c r="T21" i="4"/>
  <c r="T14" i="4"/>
  <c r="V22" i="4"/>
  <c r="V37" i="4"/>
  <c r="I12" i="4"/>
  <c r="O12" i="4"/>
  <c r="P12" i="4"/>
  <c r="AB12" i="4"/>
  <c r="AF12" i="4"/>
  <c r="AF13" i="4" s="1"/>
  <c r="AF14" i="4" s="1"/>
  <c r="AX12" i="4"/>
  <c r="BE12" i="4"/>
  <c r="BR12" i="4"/>
  <c r="BY12" i="4"/>
  <c r="H13" i="4"/>
  <c r="G14" i="4" s="1"/>
  <c r="F15" i="4" s="1"/>
  <c r="E16" i="4" s="1"/>
  <c r="D17" i="4" s="1"/>
  <c r="C18" i="4" s="1"/>
  <c r="I13" i="4"/>
  <c r="H14" i="4" s="1"/>
  <c r="G15" i="4" s="1"/>
  <c r="F16" i="4" s="1"/>
  <c r="E17" i="4" s="1"/>
  <c r="D18" i="4" s="1"/>
  <c r="O13" i="4"/>
  <c r="P13" i="4"/>
  <c r="R13" i="4"/>
  <c r="T35" i="4"/>
  <c r="AW13" i="4"/>
  <c r="AV14" i="4" s="1"/>
  <c r="AU15" i="4" s="1"/>
  <c r="AT16" i="4" s="1"/>
  <c r="AS17" i="4" s="1"/>
  <c r="AR18" i="4" s="1"/>
  <c r="AX13" i="4"/>
  <c r="AW14" i="4" s="1"/>
  <c r="AV15" i="4" s="1"/>
  <c r="AU16" i="4" s="1"/>
  <c r="AT17" i="4" s="1"/>
  <c r="AS18" i="4" s="1"/>
  <c r="AR19" i="4" s="1"/>
  <c r="BE13" i="4"/>
  <c r="BJ13" i="4"/>
  <c r="BY13" i="4"/>
  <c r="BY14" i="4" s="1"/>
  <c r="R20" i="4"/>
  <c r="R19" i="4"/>
  <c r="R18" i="4"/>
  <c r="R17" i="4"/>
  <c r="R16" i="4"/>
  <c r="R15" i="4"/>
  <c r="R14" i="4"/>
  <c r="T42" i="4"/>
  <c r="T41" i="4"/>
  <c r="T40" i="4"/>
  <c r="T39" i="4"/>
  <c r="T38" i="4"/>
  <c r="T37" i="4"/>
  <c r="T36" i="4"/>
  <c r="Z1" i="4"/>
  <c r="P38" i="4"/>
  <c r="BD38" i="4" s="1"/>
  <c r="O38" i="4"/>
  <c r="N38" i="4"/>
  <c r="P37" i="4"/>
  <c r="BD37" i="4" s="1"/>
  <c r="O37" i="4"/>
  <c r="N37" i="4"/>
  <c r="P36" i="4"/>
  <c r="BD36" i="4" s="1"/>
  <c r="O36" i="4"/>
  <c r="N36" i="4"/>
  <c r="P35" i="4"/>
  <c r="BD35" i="4" s="1"/>
  <c r="O35" i="4"/>
  <c r="N35" i="4"/>
  <c r="P34" i="4"/>
  <c r="BD34" i="4" s="1"/>
  <c r="O34" i="4"/>
  <c r="N34" i="4"/>
  <c r="P33" i="4"/>
  <c r="BD33" i="4" s="1"/>
  <c r="O33" i="4"/>
  <c r="N33" i="4"/>
  <c r="P32" i="4"/>
  <c r="BD32" i="4" s="1"/>
  <c r="O32" i="4"/>
  <c r="N32" i="4"/>
  <c r="P31" i="4"/>
  <c r="BD31" i="4" s="1"/>
  <c r="O31" i="4"/>
  <c r="N31" i="4"/>
  <c r="P30" i="4"/>
  <c r="BD30" i="4" s="1"/>
  <c r="O30" i="4"/>
  <c r="N30" i="4"/>
  <c r="P29" i="4"/>
  <c r="BD29" i="4" s="1"/>
  <c r="O29" i="4"/>
  <c r="N29" i="4"/>
  <c r="P28" i="4"/>
  <c r="BD28" i="4" s="1"/>
  <c r="O28" i="4"/>
  <c r="N28" i="4"/>
  <c r="P27" i="4"/>
  <c r="BD27" i="4" s="1"/>
  <c r="O27" i="4"/>
  <c r="N27" i="4"/>
  <c r="P26" i="4"/>
  <c r="BD26" i="4" s="1"/>
  <c r="O26" i="4"/>
  <c r="N26" i="4"/>
  <c r="P25" i="4"/>
  <c r="BD25" i="4" s="1"/>
  <c r="O25" i="4"/>
  <c r="N25" i="4"/>
  <c r="P24" i="4"/>
  <c r="BD24" i="4" s="1"/>
  <c r="O24" i="4"/>
  <c r="N24" i="4"/>
  <c r="P23" i="4"/>
  <c r="BD23" i="4" s="1"/>
  <c r="O23" i="4"/>
  <c r="N23" i="4"/>
  <c r="P22" i="4"/>
  <c r="BD22" i="4" s="1"/>
  <c r="O22" i="4"/>
  <c r="N22" i="4"/>
  <c r="P21" i="4"/>
  <c r="BD21" i="4" s="1"/>
  <c r="O21" i="4"/>
  <c r="N21" i="4"/>
  <c r="BJ20" i="4"/>
  <c r="AX20" i="4"/>
  <c r="P20" i="4"/>
  <c r="O20" i="4"/>
  <c r="BJ19" i="4"/>
  <c r="AX19" i="4"/>
  <c r="AW20" i="4" s="1"/>
  <c r="P19" i="4"/>
  <c r="O19" i="4"/>
  <c r="BJ18" i="4"/>
  <c r="AX18" i="4"/>
  <c r="AW19" i="4" s="1"/>
  <c r="AV20" i="4" s="1"/>
  <c r="P18" i="4"/>
  <c r="O18" i="4"/>
  <c r="I18" i="4"/>
  <c r="BJ17" i="4"/>
  <c r="AX17" i="4"/>
  <c r="AW18" i="4" s="1"/>
  <c r="AV19" i="4" s="1"/>
  <c r="AU20" i="4" s="1"/>
  <c r="P17" i="4"/>
  <c r="O17" i="4"/>
  <c r="I17" i="4"/>
  <c r="H18" i="4" s="1"/>
  <c r="BJ16" i="4"/>
  <c r="AX16" i="4"/>
  <c r="AW17" i="4" s="1"/>
  <c r="AV18" i="4" s="1"/>
  <c r="AU19" i="4" s="1"/>
  <c r="AT20" i="4" s="1"/>
  <c r="P16" i="4"/>
  <c r="BD16" i="4" s="1"/>
  <c r="O16" i="4"/>
  <c r="I16" i="4"/>
  <c r="H17" i="4" s="1"/>
  <c r="G18" i="4" s="1"/>
  <c r="BJ15" i="4"/>
  <c r="AX15" i="4"/>
  <c r="AW16" i="4" s="1"/>
  <c r="AV17" i="4" s="1"/>
  <c r="AU18" i="4" s="1"/>
  <c r="AT19" i="4" s="1"/>
  <c r="AS20" i="4" s="1"/>
  <c r="P15" i="4"/>
  <c r="BD15" i="4" s="1"/>
  <c r="I15" i="4"/>
  <c r="H16" i="4" s="1"/>
  <c r="G17" i="4" s="1"/>
  <c r="F18" i="4" s="1"/>
  <c r="BJ14" i="4"/>
  <c r="AX14" i="4"/>
  <c r="AW15" i="4" s="1"/>
  <c r="AV16" i="4" s="1"/>
  <c r="AU17" i="4" s="1"/>
  <c r="AT18" i="4" s="1"/>
  <c r="AS19" i="4" s="1"/>
  <c r="AR20" i="4" s="1"/>
  <c r="P14" i="4"/>
  <c r="BD14" i="4" s="1"/>
  <c r="I14" i="4"/>
  <c r="H15" i="4" s="1"/>
  <c r="G16" i="4" s="1"/>
  <c r="F17" i="4" s="1"/>
  <c r="E18" i="4" s="1"/>
  <c r="AX11" i="4"/>
  <c r="AW12" i="4" s="1"/>
  <c r="AV13" i="4" s="1"/>
  <c r="AU14" i="4" s="1"/>
  <c r="AT15" i="4" s="1"/>
  <c r="AS16" i="4" s="1"/>
  <c r="AR17" i="4" s="1"/>
  <c r="P11" i="4"/>
  <c r="I11" i="4"/>
  <c r="H12" i="4" s="1"/>
  <c r="G13" i="4" s="1"/>
  <c r="AX10" i="4"/>
  <c r="AW11" i="4" s="1"/>
  <c r="AV12" i="4" s="1"/>
  <c r="AU13" i="4" s="1"/>
  <c r="I10" i="4"/>
  <c r="H11" i="4" s="1"/>
  <c r="G12" i="4" s="1"/>
  <c r="F13" i="4" s="1"/>
  <c r="BF9" i="4"/>
  <c r="BE9" i="4"/>
  <c r="AX9" i="4"/>
  <c r="AW10" i="4" s="1"/>
  <c r="AV11" i="4" s="1"/>
  <c r="AU12" i="4" s="1"/>
  <c r="AT13" i="4" s="1"/>
  <c r="P9" i="4"/>
  <c r="BD9" i="4" s="1"/>
  <c r="O9" i="4"/>
  <c r="N9" i="4"/>
  <c r="I9" i="4"/>
  <c r="H10" i="4" s="1"/>
  <c r="G11" i="4" s="1"/>
  <c r="F12" i="4" s="1"/>
  <c r="E13" i="4" s="1"/>
  <c r="BF8" i="4"/>
  <c r="BE8" i="4"/>
  <c r="AX8" i="4"/>
  <c r="AW9" i="4" s="1"/>
  <c r="AV10" i="4" s="1"/>
  <c r="AU11" i="4" s="1"/>
  <c r="AT12" i="4" s="1"/>
  <c r="AS13" i="4" s="1"/>
  <c r="P8" i="4"/>
  <c r="BD8" i="4" s="1"/>
  <c r="O8" i="4"/>
  <c r="N8" i="4"/>
  <c r="I8" i="4"/>
  <c r="H9" i="4" s="1"/>
  <c r="G10" i="4" s="1"/>
  <c r="F11" i="4" s="1"/>
  <c r="E12" i="4" s="1"/>
  <c r="D13" i="4" s="1"/>
  <c r="BF7" i="4"/>
  <c r="BE7" i="4"/>
  <c r="AX7" i="4"/>
  <c r="AW8" i="4" s="1"/>
  <c r="AV9" i="4" s="1"/>
  <c r="AU10" i="4" s="1"/>
  <c r="AT11" i="4" s="1"/>
  <c r="AS12" i="4" s="1"/>
  <c r="AR13" i="4" s="1"/>
  <c r="P7" i="4"/>
  <c r="BD7" i="4" s="1"/>
  <c r="O7" i="4"/>
  <c r="N7" i="4"/>
  <c r="I7" i="4"/>
  <c r="H8" i="4" s="1"/>
  <c r="G9" i="4" s="1"/>
  <c r="F10" i="4" s="1"/>
  <c r="E11" i="4" s="1"/>
  <c r="D12" i="4" s="1"/>
  <c r="C13" i="4" s="1"/>
  <c r="BF6" i="4"/>
  <c r="BE6" i="4"/>
  <c r="AX6" i="4"/>
  <c r="AW7" i="4" s="1"/>
  <c r="AV8" i="4" s="1"/>
  <c r="AU9" i="4" s="1"/>
  <c r="AT10" i="4" s="1"/>
  <c r="AS11" i="4" s="1"/>
  <c r="AR12" i="4" s="1"/>
  <c r="P6" i="4"/>
  <c r="BD6" i="4" s="1"/>
  <c r="O6" i="4"/>
  <c r="N6" i="4"/>
  <c r="I6" i="4"/>
  <c r="H7" i="4" s="1"/>
  <c r="G8" i="4" s="1"/>
  <c r="F9" i="4" s="1"/>
  <c r="E10" i="4" s="1"/>
  <c r="D11" i="4" s="1"/>
  <c r="C12" i="4" s="1"/>
  <c r="BF5" i="4"/>
  <c r="BE5" i="4"/>
  <c r="AX5" i="4"/>
  <c r="AW6" i="4" s="1"/>
  <c r="AV7" i="4" s="1"/>
  <c r="AU8" i="4" s="1"/>
  <c r="AT9" i="4" s="1"/>
  <c r="AS10" i="4" s="1"/>
  <c r="AR11" i="4" s="1"/>
  <c r="P5" i="4"/>
  <c r="BD5" i="4" s="1"/>
  <c r="O5" i="4"/>
  <c r="N5" i="4"/>
  <c r="I5" i="4"/>
  <c r="H6" i="4" s="1"/>
  <c r="G7" i="4" s="1"/>
  <c r="F8" i="4" s="1"/>
  <c r="E9" i="4" s="1"/>
  <c r="D10" i="4" s="1"/>
  <c r="C11" i="4" s="1"/>
  <c r="BF4" i="4"/>
  <c r="BE4" i="4"/>
  <c r="AX4" i="4"/>
  <c r="AW5" i="4" s="1"/>
  <c r="AV6" i="4" s="1"/>
  <c r="AU7" i="4" s="1"/>
  <c r="AT8" i="4" s="1"/>
  <c r="AS9" i="4" s="1"/>
  <c r="AR10" i="4" s="1"/>
  <c r="AW4" i="4"/>
  <c r="AV5" i="4" s="1"/>
  <c r="AU6" i="4" s="1"/>
  <c r="AT7" i="4" s="1"/>
  <c r="AS8" i="4" s="1"/>
  <c r="AR9" i="4" s="1"/>
  <c r="AV4" i="4"/>
  <c r="AU5" i="4" s="1"/>
  <c r="AT6" i="4" s="1"/>
  <c r="AS7" i="4" s="1"/>
  <c r="AR8" i="4" s="1"/>
  <c r="AU4" i="4"/>
  <c r="AT5" i="4" s="1"/>
  <c r="AS6" i="4" s="1"/>
  <c r="AR7" i="4" s="1"/>
  <c r="AT4" i="4"/>
  <c r="AS5" i="4" s="1"/>
  <c r="AR6" i="4" s="1"/>
  <c r="AS4" i="4"/>
  <c r="AR5" i="4" s="1"/>
  <c r="AR4" i="4"/>
  <c r="P4" i="4"/>
  <c r="BD4" i="4" s="1"/>
  <c r="O4" i="4"/>
  <c r="N4" i="4"/>
  <c r="I4" i="4"/>
  <c r="H5" i="4" s="1"/>
  <c r="G6" i="4" s="1"/>
  <c r="F7" i="4" s="1"/>
  <c r="E8" i="4" s="1"/>
  <c r="D9" i="4" s="1"/>
  <c r="C10" i="4" s="1"/>
  <c r="H4" i="4"/>
  <c r="G5" i="4" s="1"/>
  <c r="F6" i="4" s="1"/>
  <c r="E7" i="4" s="1"/>
  <c r="D8" i="4" s="1"/>
  <c r="C9" i="4" s="1"/>
  <c r="G4" i="4"/>
  <c r="F5" i="4" s="1"/>
  <c r="E6" i="4" s="1"/>
  <c r="D7" i="4" s="1"/>
  <c r="C8" i="4" s="1"/>
  <c r="F4" i="4"/>
  <c r="E5" i="4" s="1"/>
  <c r="D6" i="4" s="1"/>
  <c r="C7" i="4" s="1"/>
  <c r="E4" i="4"/>
  <c r="D5" i="4" s="1"/>
  <c r="C6" i="4" s="1"/>
  <c r="D4" i="4"/>
  <c r="C5" i="4" s="1"/>
  <c r="C4" i="4"/>
  <c r="BF3" i="4"/>
  <c r="BE3" i="4"/>
  <c r="P3" i="4"/>
  <c r="BD3" i="4" s="1"/>
  <c r="O3" i="4"/>
  <c r="N3" i="4"/>
  <c r="BE2" i="4"/>
  <c r="P2" i="4"/>
  <c r="BD2" i="4" s="1"/>
  <c r="O2" i="4"/>
  <c r="N2" i="4"/>
  <c r="BS1" i="4"/>
  <c r="P1" i="4"/>
  <c r="BD1" i="4" s="1"/>
  <c r="O1" i="4"/>
  <c r="N1" i="4"/>
  <c r="BJ20" i="3"/>
  <c r="BJ19" i="3"/>
  <c r="BJ18" i="3"/>
  <c r="BJ17" i="3"/>
  <c r="BJ15" i="3"/>
  <c r="BJ16" i="3"/>
  <c r="BJ14" i="3"/>
  <c r="BJ13" i="3"/>
  <c r="R14" i="3"/>
  <c r="R15" i="3"/>
  <c r="R16" i="3"/>
  <c r="R17" i="3"/>
  <c r="R18" i="3"/>
  <c r="R19" i="3"/>
  <c r="R20" i="3"/>
  <c r="R13" i="3"/>
  <c r="P38" i="3"/>
  <c r="BD38" i="3" s="1"/>
  <c r="O38" i="3"/>
  <c r="N38" i="3"/>
  <c r="P37" i="3"/>
  <c r="BD37" i="3" s="1"/>
  <c r="O37" i="3"/>
  <c r="N37" i="3"/>
  <c r="P36" i="3"/>
  <c r="BD36" i="3" s="1"/>
  <c r="O36" i="3"/>
  <c r="N36" i="3"/>
  <c r="P35" i="3"/>
  <c r="BD35" i="3" s="1"/>
  <c r="O35" i="3"/>
  <c r="N35" i="3"/>
  <c r="P34" i="3"/>
  <c r="BD34" i="3" s="1"/>
  <c r="O34" i="3"/>
  <c r="N34" i="3"/>
  <c r="P33" i="3"/>
  <c r="BD33" i="3" s="1"/>
  <c r="O33" i="3"/>
  <c r="N33" i="3"/>
  <c r="P32" i="3"/>
  <c r="BD32" i="3" s="1"/>
  <c r="O32" i="3"/>
  <c r="N32" i="3"/>
  <c r="P31" i="3"/>
  <c r="BD31" i="3" s="1"/>
  <c r="O31" i="3"/>
  <c r="N31" i="3"/>
  <c r="P30" i="3"/>
  <c r="BD30" i="3" s="1"/>
  <c r="O30" i="3"/>
  <c r="N30" i="3"/>
  <c r="P29" i="3"/>
  <c r="BD29" i="3" s="1"/>
  <c r="O29" i="3"/>
  <c r="N29" i="3"/>
  <c r="P28" i="3"/>
  <c r="BD28" i="3" s="1"/>
  <c r="O28" i="3"/>
  <c r="N28" i="3"/>
  <c r="P27" i="3"/>
  <c r="BD27" i="3" s="1"/>
  <c r="O27" i="3"/>
  <c r="N27" i="3"/>
  <c r="P26" i="3"/>
  <c r="BD26" i="3" s="1"/>
  <c r="O26" i="3"/>
  <c r="N26" i="3"/>
  <c r="P25" i="3"/>
  <c r="BD25" i="3" s="1"/>
  <c r="O25" i="3"/>
  <c r="N25" i="3"/>
  <c r="P24" i="3"/>
  <c r="BD24" i="3" s="1"/>
  <c r="O24" i="3"/>
  <c r="N24" i="3"/>
  <c r="P23" i="3"/>
  <c r="BD23" i="3" s="1"/>
  <c r="O23" i="3"/>
  <c r="N23" i="3"/>
  <c r="P22" i="3"/>
  <c r="BD22" i="3" s="1"/>
  <c r="O22" i="3"/>
  <c r="N22" i="3"/>
  <c r="P21" i="3"/>
  <c r="BD21" i="3" s="1"/>
  <c r="O21" i="3"/>
  <c r="N21" i="3"/>
  <c r="AX20" i="3"/>
  <c r="P20" i="3"/>
  <c r="O20" i="3"/>
  <c r="I20" i="3"/>
  <c r="AX19" i="3"/>
  <c r="AW20" i="3" s="1"/>
  <c r="AV19" i="3"/>
  <c r="AU20" i="3" s="1"/>
  <c r="P19" i="3"/>
  <c r="O19" i="3"/>
  <c r="I19" i="3"/>
  <c r="H20" i="3" s="1"/>
  <c r="AX18" i="3"/>
  <c r="AW19" i="3" s="1"/>
  <c r="AV20" i="3" s="1"/>
  <c r="P18" i="3"/>
  <c r="O18" i="3"/>
  <c r="I18" i="3"/>
  <c r="H19" i="3" s="1"/>
  <c r="G20" i="3" s="1"/>
  <c r="G18" i="3"/>
  <c r="F19" i="3" s="1"/>
  <c r="E20" i="3" s="1"/>
  <c r="AX17" i="3"/>
  <c r="AW18" i="3" s="1"/>
  <c r="P17" i="3"/>
  <c r="O17" i="3"/>
  <c r="I17" i="3"/>
  <c r="H18" i="3" s="1"/>
  <c r="G19" i="3" s="1"/>
  <c r="F20" i="3" s="1"/>
  <c r="AX16" i="3"/>
  <c r="AW17" i="3" s="1"/>
  <c r="AV18" i="3" s="1"/>
  <c r="AU19" i="3" s="1"/>
  <c r="AT20" i="3" s="1"/>
  <c r="P16" i="3"/>
  <c r="BD16" i="3" s="1"/>
  <c r="O16" i="3"/>
  <c r="I16" i="3"/>
  <c r="H17" i="3" s="1"/>
  <c r="AX15" i="3"/>
  <c r="AW16" i="3" s="1"/>
  <c r="AV17" i="3" s="1"/>
  <c r="AU18" i="3" s="1"/>
  <c r="AT19" i="3" s="1"/>
  <c r="AS20" i="3" s="1"/>
  <c r="P15" i="3"/>
  <c r="BD15" i="3" s="1"/>
  <c r="I15" i="3"/>
  <c r="H16" i="3" s="1"/>
  <c r="G17" i="3" s="1"/>
  <c r="F18" i="3" s="1"/>
  <c r="E19" i="3" s="1"/>
  <c r="D20" i="3" s="1"/>
  <c r="AX14" i="3"/>
  <c r="AW15" i="3" s="1"/>
  <c r="AV16" i="3" s="1"/>
  <c r="AU17" i="3" s="1"/>
  <c r="AT18" i="3" s="1"/>
  <c r="AS19" i="3" s="1"/>
  <c r="AR20" i="3" s="1"/>
  <c r="P14" i="3"/>
  <c r="BD14" i="3" s="1"/>
  <c r="I14" i="3"/>
  <c r="H15" i="3" s="1"/>
  <c r="G16" i="3" s="1"/>
  <c r="F17" i="3" s="1"/>
  <c r="E18" i="3" s="1"/>
  <c r="D19" i="3" s="1"/>
  <c r="C20" i="3" s="1"/>
  <c r="D14" i="3"/>
  <c r="C15" i="3" s="1"/>
  <c r="AX13" i="3"/>
  <c r="AW14" i="3" s="1"/>
  <c r="AV15" i="3" s="1"/>
  <c r="AU16" i="3" s="1"/>
  <c r="AT17" i="3" s="1"/>
  <c r="AS18" i="3" s="1"/>
  <c r="AR19" i="3" s="1"/>
  <c r="AW13" i="3"/>
  <c r="AV14" i="3" s="1"/>
  <c r="AU15" i="3" s="1"/>
  <c r="AT16" i="3" s="1"/>
  <c r="AS17" i="3" s="1"/>
  <c r="AR18" i="3" s="1"/>
  <c r="U13" i="3"/>
  <c r="U14" i="3" s="1"/>
  <c r="T15" i="3" s="1"/>
  <c r="S16" i="3" s="1"/>
  <c r="P13" i="3"/>
  <c r="O13" i="3"/>
  <c r="I13" i="3"/>
  <c r="H14" i="3" s="1"/>
  <c r="G15" i="3" s="1"/>
  <c r="F16" i="3" s="1"/>
  <c r="E17" i="3" s="1"/>
  <c r="D18" i="3" s="1"/>
  <c r="C19" i="3" s="1"/>
  <c r="K19" i="3" s="1"/>
  <c r="H13" i="3"/>
  <c r="G14" i="3" s="1"/>
  <c r="F15" i="3" s="1"/>
  <c r="E16" i="3" s="1"/>
  <c r="D17" i="3" s="1"/>
  <c r="C18" i="3" s="1"/>
  <c r="C13" i="3"/>
  <c r="BY12" i="3"/>
  <c r="BY13" i="3" s="1"/>
  <c r="BY14" i="3" s="1"/>
  <c r="BR12" i="3"/>
  <c r="AX12" i="3"/>
  <c r="AA12" i="3"/>
  <c r="AA13" i="3" s="1"/>
  <c r="Z12" i="3"/>
  <c r="W12" i="3"/>
  <c r="V13" i="3" s="1"/>
  <c r="V14" i="3" s="1"/>
  <c r="U15" i="3" s="1"/>
  <c r="T16" i="3" s="1"/>
  <c r="S17" i="3" s="1"/>
  <c r="S18" i="3" s="1"/>
  <c r="V12" i="3"/>
  <c r="U12" i="3"/>
  <c r="T13" i="3" s="1"/>
  <c r="T14" i="3" s="1"/>
  <c r="S15" i="3" s="1"/>
  <c r="T12" i="3"/>
  <c r="S13" i="3" s="1"/>
  <c r="S14" i="3" s="1"/>
  <c r="S12" i="3"/>
  <c r="BE12" i="3" s="1"/>
  <c r="P12" i="3"/>
  <c r="O12" i="3"/>
  <c r="I12" i="3"/>
  <c r="AX11" i="3"/>
  <c r="AW12" i="3" s="1"/>
  <c r="AV13" i="3" s="1"/>
  <c r="AU14" i="3" s="1"/>
  <c r="AT15" i="3" s="1"/>
  <c r="AS16" i="3" s="1"/>
  <c r="AR17" i="3" s="1"/>
  <c r="P11" i="3"/>
  <c r="I11" i="3"/>
  <c r="H12" i="3" s="1"/>
  <c r="G13" i="3" s="1"/>
  <c r="F14" i="3" s="1"/>
  <c r="E15" i="3" s="1"/>
  <c r="D16" i="3" s="1"/>
  <c r="C17" i="3" s="1"/>
  <c r="H11" i="3"/>
  <c r="G12" i="3" s="1"/>
  <c r="F13" i="3" s="1"/>
  <c r="E14" i="3" s="1"/>
  <c r="D15" i="3" s="1"/>
  <c r="C16" i="3" s="1"/>
  <c r="AX10" i="3"/>
  <c r="AW11" i="3" s="1"/>
  <c r="AV12" i="3" s="1"/>
  <c r="AU13" i="3" s="1"/>
  <c r="AT14" i="3" s="1"/>
  <c r="AS15" i="3" s="1"/>
  <c r="AR16" i="3" s="1"/>
  <c r="AZ16" i="3" s="1"/>
  <c r="I10" i="3"/>
  <c r="BF9" i="3"/>
  <c r="BE9" i="3"/>
  <c r="AX9" i="3"/>
  <c r="AW10" i="3" s="1"/>
  <c r="AV11" i="3" s="1"/>
  <c r="AU12" i="3" s="1"/>
  <c r="AT13" i="3" s="1"/>
  <c r="AS14" i="3" s="1"/>
  <c r="AR15" i="3" s="1"/>
  <c r="P9" i="3"/>
  <c r="BD9" i="3" s="1"/>
  <c r="O9" i="3"/>
  <c r="N9" i="3"/>
  <c r="I9" i="3"/>
  <c r="H10" i="3" s="1"/>
  <c r="G11" i="3" s="1"/>
  <c r="F12" i="3" s="1"/>
  <c r="E13" i="3" s="1"/>
  <c r="BF8" i="3"/>
  <c r="BE8" i="3"/>
  <c r="BD8" i="3"/>
  <c r="AX8" i="3"/>
  <c r="AW9" i="3" s="1"/>
  <c r="AV10" i="3" s="1"/>
  <c r="AU11" i="3" s="1"/>
  <c r="AT12" i="3" s="1"/>
  <c r="AS13" i="3" s="1"/>
  <c r="AR14" i="3" s="1"/>
  <c r="P8" i="3"/>
  <c r="O8" i="3"/>
  <c r="N8" i="3"/>
  <c r="I8" i="3"/>
  <c r="H9" i="3" s="1"/>
  <c r="G10" i="3" s="1"/>
  <c r="F11" i="3" s="1"/>
  <c r="E12" i="3" s="1"/>
  <c r="D13" i="3" s="1"/>
  <c r="C14" i="3" s="1"/>
  <c r="BF7" i="3"/>
  <c r="BE7" i="3"/>
  <c r="AX7" i="3"/>
  <c r="AW8" i="3" s="1"/>
  <c r="AV9" i="3" s="1"/>
  <c r="AU10" i="3" s="1"/>
  <c r="AT11" i="3" s="1"/>
  <c r="AS12" i="3" s="1"/>
  <c r="AR13" i="3" s="1"/>
  <c r="AW7" i="3"/>
  <c r="AV8" i="3" s="1"/>
  <c r="AU9" i="3" s="1"/>
  <c r="AT10" i="3" s="1"/>
  <c r="AS11" i="3" s="1"/>
  <c r="AR12" i="3" s="1"/>
  <c r="P7" i="3"/>
  <c r="BD7" i="3" s="1"/>
  <c r="O7" i="3"/>
  <c r="N7" i="3"/>
  <c r="I7" i="3"/>
  <c r="H8" i="3" s="1"/>
  <c r="G9" i="3" s="1"/>
  <c r="F10" i="3" s="1"/>
  <c r="E11" i="3" s="1"/>
  <c r="D12" i="3" s="1"/>
  <c r="BF6" i="3"/>
  <c r="BE6" i="3"/>
  <c r="BD6" i="3"/>
  <c r="AX6" i="3"/>
  <c r="P6" i="3"/>
  <c r="O6" i="3"/>
  <c r="N6" i="3"/>
  <c r="I6" i="3"/>
  <c r="H7" i="3" s="1"/>
  <c r="G8" i="3" s="1"/>
  <c r="F9" i="3" s="1"/>
  <c r="E10" i="3" s="1"/>
  <c r="D11" i="3" s="1"/>
  <c r="C12" i="3" s="1"/>
  <c r="K12" i="3" s="1"/>
  <c r="C6" i="3"/>
  <c r="BF5" i="3"/>
  <c r="BE5" i="3"/>
  <c r="AX5" i="3"/>
  <c r="AW6" i="3" s="1"/>
  <c r="AV7" i="3" s="1"/>
  <c r="AU8" i="3" s="1"/>
  <c r="AT9" i="3" s="1"/>
  <c r="AS10" i="3" s="1"/>
  <c r="AR11" i="3" s="1"/>
  <c r="AV5" i="3"/>
  <c r="AU6" i="3" s="1"/>
  <c r="AT7" i="3" s="1"/>
  <c r="AS8" i="3" s="1"/>
  <c r="AR9" i="3" s="1"/>
  <c r="AT5" i="3"/>
  <c r="AS6" i="3" s="1"/>
  <c r="AR7" i="3" s="1"/>
  <c r="AS5" i="3"/>
  <c r="AR6" i="3" s="1"/>
  <c r="AR5" i="3"/>
  <c r="P5" i="3"/>
  <c r="BD5" i="3" s="1"/>
  <c r="O5" i="3"/>
  <c r="N5" i="3"/>
  <c r="I5" i="3"/>
  <c r="H6" i="3" s="1"/>
  <c r="G7" i="3" s="1"/>
  <c r="F8" i="3" s="1"/>
  <c r="E9" i="3" s="1"/>
  <c r="D10" i="3" s="1"/>
  <c r="C11" i="3" s="1"/>
  <c r="BF4" i="3"/>
  <c r="BE4" i="3"/>
  <c r="AX4" i="3"/>
  <c r="AW5" i="3" s="1"/>
  <c r="AV6" i="3" s="1"/>
  <c r="AU7" i="3" s="1"/>
  <c r="AT8" i="3" s="1"/>
  <c r="AS9" i="3" s="1"/>
  <c r="AR10" i="3" s="1"/>
  <c r="AW4" i="3"/>
  <c r="AV4" i="3"/>
  <c r="AU5" i="3" s="1"/>
  <c r="AT6" i="3" s="1"/>
  <c r="AS7" i="3" s="1"/>
  <c r="AR8" i="3" s="1"/>
  <c r="AU4" i="3"/>
  <c r="AT4" i="3"/>
  <c r="AS4" i="3"/>
  <c r="AR4" i="3"/>
  <c r="P4" i="3"/>
  <c r="BD4" i="3" s="1"/>
  <c r="O4" i="3"/>
  <c r="N4" i="3"/>
  <c r="I4" i="3"/>
  <c r="H5" i="3" s="1"/>
  <c r="G6" i="3" s="1"/>
  <c r="F7" i="3" s="1"/>
  <c r="E8" i="3" s="1"/>
  <c r="D9" i="3" s="1"/>
  <c r="C10" i="3" s="1"/>
  <c r="H4" i="3"/>
  <c r="G5" i="3" s="1"/>
  <c r="F6" i="3" s="1"/>
  <c r="E7" i="3" s="1"/>
  <c r="D8" i="3" s="1"/>
  <c r="C9" i="3" s="1"/>
  <c r="G4" i="3"/>
  <c r="F5" i="3" s="1"/>
  <c r="E6" i="3" s="1"/>
  <c r="D7" i="3" s="1"/>
  <c r="C8" i="3" s="1"/>
  <c r="F4" i="3"/>
  <c r="E5" i="3" s="1"/>
  <c r="D6" i="3" s="1"/>
  <c r="C7" i="3" s="1"/>
  <c r="E4" i="3"/>
  <c r="D5" i="3" s="1"/>
  <c r="D4" i="3"/>
  <c r="C5" i="3" s="1"/>
  <c r="C4" i="3"/>
  <c r="BF3" i="3"/>
  <c r="BE3" i="3"/>
  <c r="P3" i="3"/>
  <c r="BD3" i="3" s="1"/>
  <c r="O3" i="3"/>
  <c r="N3" i="3"/>
  <c r="BE2" i="3"/>
  <c r="P2" i="3"/>
  <c r="BD2" i="3" s="1"/>
  <c r="O2" i="3"/>
  <c r="N2" i="3"/>
  <c r="BS1" i="3"/>
  <c r="U1" i="3"/>
  <c r="P1" i="3"/>
  <c r="BD1" i="3" s="1"/>
  <c r="O1" i="3"/>
  <c r="N1" i="3"/>
  <c r="AX20" i="2"/>
  <c r="AX19" i="2"/>
  <c r="AW20" i="2" s="1"/>
  <c r="AX18" i="2"/>
  <c r="AW19" i="2" s="1"/>
  <c r="AV20" i="2" s="1"/>
  <c r="AX17" i="2"/>
  <c r="AW18" i="2" s="1"/>
  <c r="AV19" i="2" s="1"/>
  <c r="AU20" i="2" s="1"/>
  <c r="AX16" i="2"/>
  <c r="AW17" i="2" s="1"/>
  <c r="AV18" i="2" s="1"/>
  <c r="AU19" i="2" s="1"/>
  <c r="AT20" i="2" s="1"/>
  <c r="AX15" i="2"/>
  <c r="AW16" i="2" s="1"/>
  <c r="AV17" i="2" s="1"/>
  <c r="AU18" i="2" s="1"/>
  <c r="AT19" i="2" s="1"/>
  <c r="AS20" i="2" s="1"/>
  <c r="AX14" i="2"/>
  <c r="AW15" i="2" s="1"/>
  <c r="AV16" i="2" s="1"/>
  <c r="AU17" i="2" s="1"/>
  <c r="AT18" i="2" s="1"/>
  <c r="AS19" i="2" s="1"/>
  <c r="AR20" i="2" s="1"/>
  <c r="AX13" i="2"/>
  <c r="AW14" i="2" s="1"/>
  <c r="AV15" i="2" s="1"/>
  <c r="AU16" i="2" s="1"/>
  <c r="AT17" i="2" s="1"/>
  <c r="AS18" i="2" s="1"/>
  <c r="AR19" i="2" s="1"/>
  <c r="AX12" i="2"/>
  <c r="AW13" i="2" s="1"/>
  <c r="AV14" i="2" s="1"/>
  <c r="AU15" i="2" s="1"/>
  <c r="AT16" i="2" s="1"/>
  <c r="AS17" i="2" s="1"/>
  <c r="AR18" i="2" s="1"/>
  <c r="AX11" i="2"/>
  <c r="AW12" i="2" s="1"/>
  <c r="AV13" i="2" s="1"/>
  <c r="AU14" i="2" s="1"/>
  <c r="AT15" i="2" s="1"/>
  <c r="AS16" i="2" s="1"/>
  <c r="AR17" i="2" s="1"/>
  <c r="AX10" i="2"/>
  <c r="AW11" i="2" s="1"/>
  <c r="AV12" i="2" s="1"/>
  <c r="AU13" i="2" s="1"/>
  <c r="AT14" i="2" s="1"/>
  <c r="AS15" i="2" s="1"/>
  <c r="AR16" i="2" s="1"/>
  <c r="AX9" i="2"/>
  <c r="AW10" i="2" s="1"/>
  <c r="AV11" i="2" s="1"/>
  <c r="AU12" i="2" s="1"/>
  <c r="AT13" i="2" s="1"/>
  <c r="AS14" i="2" s="1"/>
  <c r="AR15" i="2" s="1"/>
  <c r="AX8" i="2"/>
  <c r="AW9" i="2" s="1"/>
  <c r="AV10" i="2" s="1"/>
  <c r="AU11" i="2" s="1"/>
  <c r="AT12" i="2" s="1"/>
  <c r="AS13" i="2" s="1"/>
  <c r="AR14" i="2" s="1"/>
  <c r="AX7" i="2"/>
  <c r="AW8" i="2" s="1"/>
  <c r="AV9" i="2" s="1"/>
  <c r="AU10" i="2" s="1"/>
  <c r="AT11" i="2" s="1"/>
  <c r="AS12" i="2" s="1"/>
  <c r="AR13" i="2" s="1"/>
  <c r="AX6" i="2"/>
  <c r="AW7" i="2" s="1"/>
  <c r="AV8" i="2" s="1"/>
  <c r="AU9" i="2" s="1"/>
  <c r="AT10" i="2" s="1"/>
  <c r="AS11" i="2" s="1"/>
  <c r="AR12" i="2" s="1"/>
  <c r="AX5" i="2"/>
  <c r="AW6" i="2" s="1"/>
  <c r="AV7" i="2" s="1"/>
  <c r="AU8" i="2" s="1"/>
  <c r="AT9" i="2" s="1"/>
  <c r="AS10" i="2" s="1"/>
  <c r="AR11" i="2" s="1"/>
  <c r="AX4" i="2"/>
  <c r="AW5" i="2" s="1"/>
  <c r="AV6" i="2" s="1"/>
  <c r="AU7" i="2" s="1"/>
  <c r="AT8" i="2" s="1"/>
  <c r="AS9" i="2" s="1"/>
  <c r="AR10" i="2" s="1"/>
  <c r="AW4" i="2"/>
  <c r="AV5" i="2" s="1"/>
  <c r="AU6" i="2" s="1"/>
  <c r="AT7" i="2" s="1"/>
  <c r="AS8" i="2" s="1"/>
  <c r="AR9" i="2" s="1"/>
  <c r="AV4" i="2"/>
  <c r="AU5" i="2" s="1"/>
  <c r="AT6" i="2" s="1"/>
  <c r="AS7" i="2" s="1"/>
  <c r="AR8" i="2" s="1"/>
  <c r="AU4" i="2"/>
  <c r="AT5" i="2" s="1"/>
  <c r="AS6" i="2" s="1"/>
  <c r="AR7" i="2" s="1"/>
  <c r="AT4" i="2"/>
  <c r="AS5" i="2" s="1"/>
  <c r="AR6" i="2" s="1"/>
  <c r="AS4" i="2"/>
  <c r="AR5" i="2" s="1"/>
  <c r="AR4" i="2"/>
  <c r="BY12" i="2"/>
  <c r="BY13" i="2" s="1"/>
  <c r="BY14" i="2" s="1"/>
  <c r="BR12" i="2"/>
  <c r="BF9" i="2"/>
  <c r="BE9" i="2"/>
  <c r="BF8" i="2"/>
  <c r="BE8" i="2"/>
  <c r="BF7" i="2"/>
  <c r="BE7" i="2"/>
  <c r="BF6" i="2"/>
  <c r="BE6" i="2"/>
  <c r="BF5" i="2"/>
  <c r="BE5" i="2"/>
  <c r="BF4" i="2"/>
  <c r="BE4" i="2"/>
  <c r="BF3" i="2"/>
  <c r="BE3" i="2"/>
  <c r="BE2" i="2"/>
  <c r="BS1" i="2"/>
  <c r="AA38" i="2"/>
  <c r="BD38" i="2" s="1"/>
  <c r="Z38" i="2"/>
  <c r="Y38" i="2"/>
  <c r="AA37" i="2"/>
  <c r="BD37" i="2" s="1"/>
  <c r="Z37" i="2"/>
  <c r="Y37" i="2"/>
  <c r="AA36" i="2"/>
  <c r="BD36" i="2" s="1"/>
  <c r="Z36" i="2"/>
  <c r="Y36" i="2"/>
  <c r="AA35" i="2"/>
  <c r="BD35" i="2" s="1"/>
  <c r="Z35" i="2"/>
  <c r="Y35" i="2"/>
  <c r="AA34" i="2"/>
  <c r="BD34" i="2" s="1"/>
  <c r="Z34" i="2"/>
  <c r="Y34" i="2"/>
  <c r="AA33" i="2"/>
  <c r="BD33" i="2" s="1"/>
  <c r="Z33" i="2"/>
  <c r="Y33" i="2"/>
  <c r="AA32" i="2"/>
  <c r="BD32" i="2" s="1"/>
  <c r="Z32" i="2"/>
  <c r="Y32" i="2"/>
  <c r="AA31" i="2"/>
  <c r="BD31" i="2" s="1"/>
  <c r="Z31" i="2"/>
  <c r="Y31" i="2"/>
  <c r="AA30" i="2"/>
  <c r="BD30" i="2" s="1"/>
  <c r="Z30" i="2"/>
  <c r="Y30" i="2"/>
  <c r="AA29" i="2"/>
  <c r="BD29" i="2" s="1"/>
  <c r="Z29" i="2"/>
  <c r="Y29" i="2"/>
  <c r="AA28" i="2"/>
  <c r="BD28" i="2" s="1"/>
  <c r="Z28" i="2"/>
  <c r="Y28" i="2"/>
  <c r="AA27" i="2"/>
  <c r="BD27" i="2" s="1"/>
  <c r="Z27" i="2"/>
  <c r="Y27" i="2"/>
  <c r="AA26" i="2"/>
  <c r="BD26" i="2" s="1"/>
  <c r="Z26" i="2"/>
  <c r="Y26" i="2"/>
  <c r="AA25" i="2"/>
  <c r="BD25" i="2" s="1"/>
  <c r="Z25" i="2"/>
  <c r="Y25" i="2"/>
  <c r="AA24" i="2"/>
  <c r="BD24" i="2" s="1"/>
  <c r="Z24" i="2"/>
  <c r="Y24" i="2"/>
  <c r="AA23" i="2"/>
  <c r="BD23" i="2" s="1"/>
  <c r="Z23" i="2"/>
  <c r="Y23" i="2"/>
  <c r="AA22" i="2"/>
  <c r="BD22" i="2" s="1"/>
  <c r="Z22" i="2"/>
  <c r="Y22" i="2"/>
  <c r="AA21" i="2"/>
  <c r="BD21" i="2" s="1"/>
  <c r="Z21" i="2"/>
  <c r="Y21" i="2"/>
  <c r="AA20" i="2"/>
  <c r="Z20" i="2"/>
  <c r="I20" i="2"/>
  <c r="AA19" i="2"/>
  <c r="Z19" i="2"/>
  <c r="I19" i="2"/>
  <c r="H20" i="2" s="1"/>
  <c r="AA18" i="2"/>
  <c r="Z18" i="2"/>
  <c r="I18" i="2"/>
  <c r="H19" i="2" s="1"/>
  <c r="G20" i="2" s="1"/>
  <c r="AA17" i="2"/>
  <c r="Z17" i="2"/>
  <c r="I17" i="2"/>
  <c r="H18" i="2" s="1"/>
  <c r="G19" i="2" s="1"/>
  <c r="F20" i="2" s="1"/>
  <c r="AA16" i="2"/>
  <c r="BD16" i="2" s="1"/>
  <c r="Z16" i="2"/>
  <c r="I16" i="2"/>
  <c r="H17" i="2" s="1"/>
  <c r="G18" i="2" s="1"/>
  <c r="F19" i="2" s="1"/>
  <c r="E20" i="2" s="1"/>
  <c r="AA15" i="2"/>
  <c r="BD15" i="2" s="1"/>
  <c r="I15" i="2"/>
  <c r="H16" i="2" s="1"/>
  <c r="G17" i="2" s="1"/>
  <c r="F18" i="2" s="1"/>
  <c r="E19" i="2" s="1"/>
  <c r="D20" i="2" s="1"/>
  <c r="AA14" i="2"/>
  <c r="BD14" i="2" s="1"/>
  <c r="I14" i="2"/>
  <c r="H15" i="2" s="1"/>
  <c r="G16" i="2" s="1"/>
  <c r="F17" i="2" s="1"/>
  <c r="E18" i="2" s="1"/>
  <c r="D19" i="2" s="1"/>
  <c r="C20" i="2" s="1"/>
  <c r="AA13" i="2"/>
  <c r="Z13" i="2"/>
  <c r="I13" i="2"/>
  <c r="H14" i="2" s="1"/>
  <c r="G15" i="2" s="1"/>
  <c r="F16" i="2" s="1"/>
  <c r="E17" i="2" s="1"/>
  <c r="D18" i="2" s="1"/>
  <c r="C19" i="2" s="1"/>
  <c r="AL12" i="2"/>
  <c r="AL13" i="2" s="1"/>
  <c r="AL14" i="2" s="1"/>
  <c r="AK15" i="2" s="1"/>
  <c r="AK12" i="2"/>
  <c r="AH12" i="2"/>
  <c r="AG13" i="2" s="1"/>
  <c r="AG14" i="2" s="1"/>
  <c r="AF15" i="2" s="1"/>
  <c r="AE16" i="2" s="1"/>
  <c r="AD17" i="2" s="1"/>
  <c r="AD18" i="2" s="1"/>
  <c r="AG12" i="2"/>
  <c r="AF13" i="2" s="1"/>
  <c r="AF14" i="2" s="1"/>
  <c r="AE15" i="2" s="1"/>
  <c r="AD16" i="2" s="1"/>
  <c r="AF12" i="2"/>
  <c r="AE13" i="2" s="1"/>
  <c r="AE14" i="2" s="1"/>
  <c r="AD15" i="2" s="1"/>
  <c r="AE12" i="2"/>
  <c r="AD13" i="2" s="1"/>
  <c r="AD12" i="2"/>
  <c r="BE12" i="2" s="1"/>
  <c r="AA12" i="2"/>
  <c r="Z12" i="2"/>
  <c r="U12" i="2"/>
  <c r="T13" i="2" s="1"/>
  <c r="T14" i="2" s="1"/>
  <c r="S15" i="2" s="1"/>
  <c r="R16" i="2" s="1"/>
  <c r="Q17" i="2" s="1"/>
  <c r="Q18" i="2" s="1"/>
  <c r="P19" i="2" s="1"/>
  <c r="O20" i="2" s="1"/>
  <c r="N21" i="2" s="1"/>
  <c r="T12" i="2"/>
  <c r="S13" i="2" s="1"/>
  <c r="S14" i="2" s="1"/>
  <c r="R15" i="2" s="1"/>
  <c r="Q16" i="2" s="1"/>
  <c r="P17" i="2" s="1"/>
  <c r="P18" i="2" s="1"/>
  <c r="O19" i="2" s="1"/>
  <c r="N20" i="2" s="1"/>
  <c r="S12" i="2"/>
  <c r="R13" i="2" s="1"/>
  <c r="R14" i="2" s="1"/>
  <c r="Q15" i="2" s="1"/>
  <c r="P16" i="2" s="1"/>
  <c r="O17" i="2" s="1"/>
  <c r="O18" i="2" s="1"/>
  <c r="N19" i="2" s="1"/>
  <c r="R12" i="2"/>
  <c r="Q13" i="2" s="1"/>
  <c r="Q14" i="2" s="1"/>
  <c r="P15" i="2" s="1"/>
  <c r="O16" i="2" s="1"/>
  <c r="N17" i="2" s="1"/>
  <c r="N18" i="2" s="1"/>
  <c r="Q12" i="2"/>
  <c r="P13" i="2" s="1"/>
  <c r="P14" i="2" s="1"/>
  <c r="O15" i="2" s="1"/>
  <c r="N16" i="2" s="1"/>
  <c r="P12" i="2"/>
  <c r="O13" i="2" s="1"/>
  <c r="O14" i="2" s="1"/>
  <c r="N15" i="2" s="1"/>
  <c r="O12" i="2"/>
  <c r="N13" i="2" s="1"/>
  <c r="N14" i="2" s="1"/>
  <c r="N12" i="2"/>
  <c r="I12" i="2"/>
  <c r="H13" i="2" s="1"/>
  <c r="G14" i="2" s="1"/>
  <c r="F15" i="2" s="1"/>
  <c r="E16" i="2" s="1"/>
  <c r="D17" i="2" s="1"/>
  <c r="C18" i="2" s="1"/>
  <c r="AA11" i="2"/>
  <c r="I11" i="2"/>
  <c r="H12" i="2" s="1"/>
  <c r="G13" i="2" s="1"/>
  <c r="F14" i="2" s="1"/>
  <c r="E15" i="2" s="1"/>
  <c r="D16" i="2" s="1"/>
  <c r="C17" i="2" s="1"/>
  <c r="I10" i="2"/>
  <c r="H11" i="2" s="1"/>
  <c r="G12" i="2" s="1"/>
  <c r="F13" i="2" s="1"/>
  <c r="E14" i="2" s="1"/>
  <c r="D15" i="2" s="1"/>
  <c r="C16" i="2" s="1"/>
  <c r="AA9" i="2"/>
  <c r="BD9" i="2" s="1"/>
  <c r="Z9" i="2"/>
  <c r="Y9" i="2"/>
  <c r="I9" i="2"/>
  <c r="H10" i="2" s="1"/>
  <c r="G11" i="2" s="1"/>
  <c r="F12" i="2" s="1"/>
  <c r="E13" i="2" s="1"/>
  <c r="D14" i="2" s="1"/>
  <c r="C15" i="2" s="1"/>
  <c r="AA8" i="2"/>
  <c r="BD8" i="2" s="1"/>
  <c r="Z8" i="2"/>
  <c r="Y8" i="2"/>
  <c r="I8" i="2"/>
  <c r="H9" i="2" s="1"/>
  <c r="G10" i="2" s="1"/>
  <c r="F11" i="2" s="1"/>
  <c r="E12" i="2" s="1"/>
  <c r="D13" i="2" s="1"/>
  <c r="C14" i="2" s="1"/>
  <c r="AA7" i="2"/>
  <c r="BD7" i="2" s="1"/>
  <c r="Z7" i="2"/>
  <c r="Y7" i="2"/>
  <c r="I7" i="2"/>
  <c r="H8" i="2" s="1"/>
  <c r="G9" i="2" s="1"/>
  <c r="F10" i="2" s="1"/>
  <c r="E11" i="2" s="1"/>
  <c r="D12" i="2" s="1"/>
  <c r="C13" i="2" s="1"/>
  <c r="AA6" i="2"/>
  <c r="BD6" i="2" s="1"/>
  <c r="Z6" i="2"/>
  <c r="Y6" i="2"/>
  <c r="I6" i="2"/>
  <c r="H7" i="2" s="1"/>
  <c r="G8" i="2" s="1"/>
  <c r="F9" i="2" s="1"/>
  <c r="E10" i="2" s="1"/>
  <c r="D11" i="2" s="1"/>
  <c r="C12" i="2" s="1"/>
  <c r="AA5" i="2"/>
  <c r="BD5" i="2" s="1"/>
  <c r="Z5" i="2"/>
  <c r="Y5" i="2"/>
  <c r="I5" i="2"/>
  <c r="H6" i="2" s="1"/>
  <c r="G7" i="2" s="1"/>
  <c r="F8" i="2" s="1"/>
  <c r="E9" i="2" s="1"/>
  <c r="D10" i="2" s="1"/>
  <c r="C11" i="2" s="1"/>
  <c r="AA4" i="2"/>
  <c r="BD4" i="2" s="1"/>
  <c r="Z4" i="2"/>
  <c r="Y4" i="2"/>
  <c r="I4" i="2"/>
  <c r="H5" i="2" s="1"/>
  <c r="G6" i="2" s="1"/>
  <c r="F7" i="2" s="1"/>
  <c r="E8" i="2" s="1"/>
  <c r="D9" i="2" s="1"/>
  <c r="C10" i="2" s="1"/>
  <c r="H4" i="2"/>
  <c r="G5" i="2" s="1"/>
  <c r="F6" i="2" s="1"/>
  <c r="E7" i="2" s="1"/>
  <c r="D8" i="2" s="1"/>
  <c r="C9" i="2" s="1"/>
  <c r="G4" i="2"/>
  <c r="F5" i="2" s="1"/>
  <c r="E6" i="2" s="1"/>
  <c r="D7" i="2" s="1"/>
  <c r="C8" i="2" s="1"/>
  <c r="F4" i="2"/>
  <c r="E5" i="2" s="1"/>
  <c r="D6" i="2" s="1"/>
  <c r="C7" i="2" s="1"/>
  <c r="E4" i="2"/>
  <c r="D5" i="2" s="1"/>
  <c r="C6" i="2" s="1"/>
  <c r="D4" i="2"/>
  <c r="C5" i="2" s="1"/>
  <c r="C4" i="2"/>
  <c r="AA3" i="2"/>
  <c r="BD3" i="2" s="1"/>
  <c r="Z3" i="2"/>
  <c r="Y3" i="2"/>
  <c r="AA2" i="2"/>
  <c r="BD2" i="2" s="1"/>
  <c r="Z2" i="2"/>
  <c r="Y2" i="2"/>
  <c r="AF1" i="2"/>
  <c r="AA1" i="2"/>
  <c r="BD1" i="2" s="1"/>
  <c r="Z1" i="2"/>
  <c r="Y1" i="2"/>
  <c r="P1" i="2"/>
  <c r="AJ14" i="1"/>
  <c r="AK14" i="1"/>
  <c r="AJ13" i="1"/>
  <c r="AK13" i="1"/>
  <c r="AI13" i="1"/>
  <c r="AJ15" i="1"/>
  <c r="AI16" i="1" s="1"/>
  <c r="AK15" i="1"/>
  <c r="AJ16" i="1"/>
  <c r="AK16" i="1"/>
  <c r="AL14" i="1"/>
  <c r="AI14" i="1"/>
  <c r="AI15" i="1"/>
  <c r="AI12" i="1"/>
  <c r="AJ12" i="1"/>
  <c r="AK12" i="1"/>
  <c r="AL13" i="1"/>
  <c r="AL16" i="1"/>
  <c r="AL15" i="1"/>
  <c r="AL12" i="1"/>
  <c r="AL11" i="1"/>
  <c r="AH19" i="1"/>
  <c r="AH20" i="1" s="1"/>
  <c r="AH21" i="1" s="1"/>
  <c r="AH22" i="1" s="1"/>
  <c r="AH17" i="1"/>
  <c r="AH16" i="1"/>
  <c r="AH15" i="1"/>
  <c r="AH13" i="1"/>
  <c r="AH12" i="1"/>
  <c r="AH11" i="1"/>
  <c r="Y2" i="1"/>
  <c r="Z2" i="1"/>
  <c r="AA2" i="1"/>
  <c r="Y3" i="1"/>
  <c r="Z3" i="1"/>
  <c r="AA3" i="1"/>
  <c r="Y4" i="1"/>
  <c r="Z4" i="1"/>
  <c r="AA4" i="1"/>
  <c r="Y5" i="1"/>
  <c r="Z5" i="1"/>
  <c r="AA5" i="1"/>
  <c r="Y6" i="1"/>
  <c r="Z6" i="1"/>
  <c r="AA6" i="1"/>
  <c r="Y7" i="1"/>
  <c r="Z7" i="1"/>
  <c r="AA7" i="1"/>
  <c r="Y8" i="1"/>
  <c r="Z8" i="1"/>
  <c r="AA8" i="1"/>
  <c r="Y9" i="1"/>
  <c r="Z9" i="1"/>
  <c r="AA9" i="1"/>
  <c r="Y10" i="1"/>
  <c r="Z10" i="1"/>
  <c r="AA10" i="1"/>
  <c r="Y11" i="1"/>
  <c r="Z11" i="1"/>
  <c r="AA11" i="1"/>
  <c r="Y12" i="1"/>
  <c r="Z12" i="1"/>
  <c r="AA12" i="1"/>
  <c r="Z13" i="1"/>
  <c r="AA13" i="1"/>
  <c r="Y14" i="1"/>
  <c r="Z14" i="1"/>
  <c r="AA14" i="1"/>
  <c r="Y15" i="1"/>
  <c r="Z15" i="1"/>
  <c r="AA15" i="1"/>
  <c r="Y16" i="1"/>
  <c r="Z16" i="1"/>
  <c r="AA16" i="1"/>
  <c r="Z17" i="1"/>
  <c r="AA17" i="1"/>
  <c r="Z18" i="1"/>
  <c r="AA18" i="1"/>
  <c r="Z19" i="1"/>
  <c r="AA19" i="1"/>
  <c r="Z20" i="1"/>
  <c r="AA20" i="1"/>
  <c r="Y21" i="1"/>
  <c r="Z21" i="1"/>
  <c r="AA21" i="1"/>
  <c r="Y22" i="1"/>
  <c r="Z22" i="1"/>
  <c r="AA22" i="1"/>
  <c r="Y23" i="1"/>
  <c r="Z23" i="1"/>
  <c r="AA23" i="1"/>
  <c r="Y24" i="1"/>
  <c r="Z24" i="1"/>
  <c r="AA24" i="1"/>
  <c r="Y25" i="1"/>
  <c r="Z25" i="1"/>
  <c r="AA25" i="1"/>
  <c r="Y26" i="1"/>
  <c r="Z26" i="1"/>
  <c r="AA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Y32" i="1"/>
  <c r="Z32" i="1"/>
  <c r="AA32" i="1"/>
  <c r="Y33" i="1"/>
  <c r="Z33" i="1"/>
  <c r="AA33" i="1"/>
  <c r="Y34" i="1"/>
  <c r="Z34" i="1"/>
  <c r="AA34" i="1"/>
  <c r="Y35" i="1"/>
  <c r="Z35" i="1"/>
  <c r="AA35" i="1"/>
  <c r="Y36" i="1"/>
  <c r="Z36" i="1"/>
  <c r="AA36" i="1"/>
  <c r="Y37" i="1"/>
  <c r="Z37" i="1"/>
  <c r="AA37" i="1"/>
  <c r="Y38" i="1"/>
  <c r="Z38" i="1"/>
  <c r="AA38" i="1"/>
  <c r="Y39" i="1"/>
  <c r="Z39" i="1"/>
  <c r="AA39" i="1"/>
  <c r="Y40" i="1"/>
  <c r="Z40" i="1"/>
  <c r="AA40" i="1"/>
  <c r="Y41" i="1"/>
  <c r="Z41" i="1"/>
  <c r="AA41" i="1"/>
  <c r="Y42" i="1"/>
  <c r="Z42" i="1"/>
  <c r="AA42" i="1"/>
  <c r="Y43" i="1"/>
  <c r="Z43" i="1"/>
  <c r="AA43" i="1"/>
  <c r="Y44" i="1"/>
  <c r="Z44" i="1"/>
  <c r="AA44" i="1"/>
  <c r="Y45" i="1"/>
  <c r="Z45" i="1"/>
  <c r="AA45" i="1"/>
  <c r="Y46" i="1"/>
  <c r="Z46" i="1"/>
  <c r="AA46" i="1"/>
  <c r="Y47" i="1"/>
  <c r="Z47" i="1"/>
  <c r="AA47" i="1"/>
  <c r="Y48" i="1"/>
  <c r="Z48" i="1"/>
  <c r="AA48" i="1"/>
  <c r="Y49" i="1"/>
  <c r="Z49" i="1"/>
  <c r="AA49" i="1"/>
  <c r="Y50" i="1"/>
  <c r="Z50" i="1"/>
  <c r="AA50" i="1"/>
  <c r="Y51" i="1"/>
  <c r="Z51" i="1"/>
  <c r="AA51" i="1"/>
  <c r="Z1" i="1"/>
  <c r="AA1" i="1"/>
  <c r="Y52" i="1"/>
  <c r="Y1" i="1"/>
  <c r="K10" i="1"/>
  <c r="W11" i="1" s="1"/>
  <c r="AG20" i="1"/>
  <c r="AF21" i="1" s="1"/>
  <c r="AE22" i="1" s="1"/>
  <c r="AC13" i="1"/>
  <c r="AC14" i="1" s="1"/>
  <c r="AB15" i="1" s="1"/>
  <c r="AG17" i="1"/>
  <c r="AG18" i="1" s="1"/>
  <c r="AF19" i="1" s="1"/>
  <c r="AE20" i="1" s="1"/>
  <c r="AD21" i="1" s="1"/>
  <c r="AC22" i="1" s="1"/>
  <c r="AH14" i="1"/>
  <c r="AG15" i="1" s="1"/>
  <c r="AF16" i="1" s="1"/>
  <c r="AE17" i="1" s="1"/>
  <c r="AE18" i="1" s="1"/>
  <c r="AD19" i="1" s="1"/>
  <c r="AC20" i="1" s="1"/>
  <c r="AB21" i="1" s="1"/>
  <c r="AG13" i="1"/>
  <c r="AG14" i="1" s="1"/>
  <c r="AF15" i="1" s="1"/>
  <c r="AE16" i="1" s="1"/>
  <c r="AD17" i="1" s="1"/>
  <c r="AD18" i="1" s="1"/>
  <c r="AC19" i="1" s="1"/>
  <c r="AB20" i="1" s="1"/>
  <c r="AG12" i="1"/>
  <c r="AF13" i="1" s="1"/>
  <c r="AF14" i="1" s="1"/>
  <c r="AE15" i="1" s="1"/>
  <c r="AD16" i="1" s="1"/>
  <c r="AC17" i="1" s="1"/>
  <c r="AC18" i="1" s="1"/>
  <c r="AB19" i="1" s="1"/>
  <c r="AF12" i="1"/>
  <c r="AE13" i="1" s="1"/>
  <c r="AE14" i="1" s="1"/>
  <c r="AD15" i="1" s="1"/>
  <c r="AC16" i="1" s="1"/>
  <c r="AB17" i="1" s="1"/>
  <c r="AB18" i="1" s="1"/>
  <c r="AE12" i="1"/>
  <c r="AD13" i="1" s="1"/>
  <c r="AD14" i="1" s="1"/>
  <c r="AC15" i="1" s="1"/>
  <c r="AB16" i="1" s="1"/>
  <c r="AD12" i="1"/>
  <c r="AC12" i="1"/>
  <c r="AB13" i="1" s="1"/>
  <c r="AB14" i="1" s="1"/>
  <c r="AB12" i="1"/>
  <c r="AG16" i="1"/>
  <c r="AF17" i="1" s="1"/>
  <c r="AF18" i="1" s="1"/>
  <c r="AE19" i="1" s="1"/>
  <c r="AD20" i="1" s="1"/>
  <c r="AC21" i="1" s="1"/>
  <c r="AB22" i="1" s="1"/>
  <c r="AD1" i="1"/>
  <c r="N20" i="1"/>
  <c r="O20" i="1"/>
  <c r="Q20" i="1"/>
  <c r="R20" i="1"/>
  <c r="Q21" i="1" s="1"/>
  <c r="S20" i="1"/>
  <c r="R21" i="1" s="1"/>
  <c r="T20" i="1"/>
  <c r="S21" i="1" s="1"/>
  <c r="U20" i="1"/>
  <c r="T21" i="1" s="1"/>
  <c r="V20" i="1"/>
  <c r="N21" i="1"/>
  <c r="P21" i="1"/>
  <c r="U21" i="1"/>
  <c r="V21" i="1"/>
  <c r="N18" i="1"/>
  <c r="O18" i="1"/>
  <c r="P18" i="1"/>
  <c r="Q18" i="1"/>
  <c r="S18" i="1"/>
  <c r="T18" i="1"/>
  <c r="S19" i="1" s="1"/>
  <c r="U18" i="1"/>
  <c r="V18" i="1"/>
  <c r="N16" i="1"/>
  <c r="O16" i="1"/>
  <c r="P16" i="1"/>
  <c r="Q16" i="1"/>
  <c r="R16" i="1"/>
  <c r="T16" i="1"/>
  <c r="S17" i="1" s="1"/>
  <c r="U16" i="1"/>
  <c r="T17" i="1" s="1"/>
  <c r="V16" i="1"/>
  <c r="N17" i="1"/>
  <c r="O17" i="1"/>
  <c r="P17" i="1"/>
  <c r="Q17" i="1"/>
  <c r="U17" i="1"/>
  <c r="V17" i="1"/>
  <c r="T19" i="1" s="1"/>
  <c r="N15" i="1"/>
  <c r="O15" i="1"/>
  <c r="P15" i="1"/>
  <c r="Q15" i="1"/>
  <c r="R15" i="1"/>
  <c r="S15" i="1"/>
  <c r="U15" i="1"/>
  <c r="V15" i="1"/>
  <c r="W18" i="1"/>
  <c r="N14" i="1"/>
  <c r="O14" i="1"/>
  <c r="P14" i="1"/>
  <c r="Q14" i="1"/>
  <c r="R14" i="1"/>
  <c r="S14" i="1"/>
  <c r="T14" i="1"/>
  <c r="V14" i="1"/>
  <c r="W14" i="1"/>
  <c r="N13" i="1"/>
  <c r="O13" i="1"/>
  <c r="P13" i="1"/>
  <c r="Q13" i="1"/>
  <c r="R13" i="1"/>
  <c r="S13" i="1"/>
  <c r="T13" i="1"/>
  <c r="V13" i="1"/>
  <c r="U19" i="1"/>
  <c r="V19" i="1"/>
  <c r="N12" i="1"/>
  <c r="O12" i="1"/>
  <c r="P12" i="1"/>
  <c r="Q12" i="1"/>
  <c r="R12" i="1"/>
  <c r="S12" i="1"/>
  <c r="T12" i="1"/>
  <c r="U12" i="1"/>
  <c r="W12" i="1"/>
  <c r="W13" i="1"/>
  <c r="W15" i="1"/>
  <c r="W16" i="1"/>
  <c r="W17" i="1"/>
  <c r="W19" i="1"/>
  <c r="W20" i="1"/>
  <c r="W21" i="1"/>
  <c r="P1" i="1"/>
  <c r="M10" i="1"/>
  <c r="L10" i="1"/>
  <c r="L11" i="1"/>
  <c r="L14" i="1"/>
  <c r="L15" i="1"/>
  <c r="K11" i="1"/>
  <c r="K12" i="1"/>
  <c r="K14" i="1"/>
  <c r="K15" i="1"/>
  <c r="K16" i="1"/>
  <c r="K18" i="1"/>
  <c r="K19" i="1"/>
  <c r="K20" i="1"/>
  <c r="C19" i="1"/>
  <c r="D19" i="1"/>
  <c r="E19" i="1"/>
  <c r="D20" i="1" s="1"/>
  <c r="F19" i="1"/>
  <c r="G19" i="1"/>
  <c r="F20" i="1" s="1"/>
  <c r="H19" i="1"/>
  <c r="G20" i="1" s="1"/>
  <c r="I19" i="1"/>
  <c r="H20" i="1" s="1"/>
  <c r="C20" i="1"/>
  <c r="E20" i="1"/>
  <c r="I20" i="1"/>
  <c r="C13" i="1"/>
  <c r="D13" i="1"/>
  <c r="E13" i="1"/>
  <c r="D14" i="1" s="1"/>
  <c r="C15" i="1" s="1"/>
  <c r="F13" i="1"/>
  <c r="E14" i="1" s="1"/>
  <c r="D15" i="1" s="1"/>
  <c r="C16" i="1" s="1"/>
  <c r="G13" i="1"/>
  <c r="F14" i="1" s="1"/>
  <c r="E15" i="1" s="1"/>
  <c r="D16" i="1" s="1"/>
  <c r="C17" i="1" s="1"/>
  <c r="H13" i="1"/>
  <c r="G14" i="1" s="1"/>
  <c r="F15" i="1" s="1"/>
  <c r="E16" i="1" s="1"/>
  <c r="D17" i="1" s="1"/>
  <c r="C18" i="1" s="1"/>
  <c r="I13" i="1"/>
  <c r="H14" i="1" s="1"/>
  <c r="G15" i="1" s="1"/>
  <c r="F16" i="1" s="1"/>
  <c r="E17" i="1" s="1"/>
  <c r="D18" i="1" s="1"/>
  <c r="C14" i="1"/>
  <c r="I14" i="1"/>
  <c r="H15" i="1" s="1"/>
  <c r="G16" i="1" s="1"/>
  <c r="F17" i="1" s="1"/>
  <c r="E18" i="1" s="1"/>
  <c r="I15" i="1"/>
  <c r="H16" i="1" s="1"/>
  <c r="G17" i="1" s="1"/>
  <c r="F18" i="1" s="1"/>
  <c r="I16" i="1"/>
  <c r="H17" i="1" s="1"/>
  <c r="G18" i="1" s="1"/>
  <c r="I17" i="1"/>
  <c r="H18" i="1" s="1"/>
  <c r="I18" i="1"/>
  <c r="C11" i="1"/>
  <c r="D11" i="1"/>
  <c r="C12" i="1" s="1"/>
  <c r="E11" i="1"/>
  <c r="D12" i="1" s="1"/>
  <c r="F11" i="1"/>
  <c r="E12" i="1" s="1"/>
  <c r="G11" i="1"/>
  <c r="F12" i="1" s="1"/>
  <c r="H11" i="1"/>
  <c r="G12" i="1" s="1"/>
  <c r="I11" i="1"/>
  <c r="H12" i="1" s="1"/>
  <c r="I12" i="1"/>
  <c r="C5" i="1"/>
  <c r="D5" i="1"/>
  <c r="E5" i="1"/>
  <c r="D6" i="1" s="1"/>
  <c r="C7" i="1" s="1"/>
  <c r="F5" i="1"/>
  <c r="E6" i="1" s="1"/>
  <c r="D7" i="1" s="1"/>
  <c r="C8" i="1" s="1"/>
  <c r="G5" i="1"/>
  <c r="F6" i="1" s="1"/>
  <c r="E7" i="1" s="1"/>
  <c r="D8" i="1" s="1"/>
  <c r="C9" i="1" s="1"/>
  <c r="H5" i="1"/>
  <c r="G6" i="1" s="1"/>
  <c r="F7" i="1" s="1"/>
  <c r="E8" i="1" s="1"/>
  <c r="D9" i="1" s="1"/>
  <c r="C10" i="1" s="1"/>
  <c r="I5" i="1"/>
  <c r="H6" i="1" s="1"/>
  <c r="G7" i="1" s="1"/>
  <c r="F8" i="1" s="1"/>
  <c r="E9" i="1" s="1"/>
  <c r="D10" i="1" s="1"/>
  <c r="C6" i="1"/>
  <c r="I6" i="1"/>
  <c r="H7" i="1" s="1"/>
  <c r="G8" i="1" s="1"/>
  <c r="F9" i="1" s="1"/>
  <c r="E10" i="1" s="1"/>
  <c r="I7" i="1"/>
  <c r="H8" i="1" s="1"/>
  <c r="G9" i="1" s="1"/>
  <c r="F10" i="1" s="1"/>
  <c r="I8" i="1"/>
  <c r="H9" i="1" s="1"/>
  <c r="G10" i="1" s="1"/>
  <c r="I9" i="1"/>
  <c r="H10" i="1" s="1"/>
  <c r="I10" i="1"/>
  <c r="C4" i="1"/>
  <c r="D4" i="1"/>
  <c r="E4" i="1"/>
  <c r="F4" i="1"/>
  <c r="G4" i="1"/>
  <c r="H4" i="1"/>
  <c r="I4" i="1"/>
  <c r="E58" i="11" l="1"/>
  <c r="N45" i="11" s="1"/>
  <c r="L52" i="11"/>
  <c r="R51" i="11"/>
  <c r="H51" i="11"/>
  <c r="N10" i="10"/>
  <c r="AK11" i="10" s="1"/>
  <c r="E17" i="11"/>
  <c r="D18" i="11" s="1"/>
  <c r="D19" i="11" s="1"/>
  <c r="K19" i="11" s="1"/>
  <c r="N16" i="11"/>
  <c r="T52" i="11"/>
  <c r="N51" i="11"/>
  <c r="F57" i="11"/>
  <c r="I56" i="11" s="1"/>
  <c r="T40" i="11" s="1"/>
  <c r="I52" i="11"/>
  <c r="E62" i="11"/>
  <c r="G61" i="11" s="1"/>
  <c r="K52" i="11"/>
  <c r="O56" i="11" s="1"/>
  <c r="K10" i="11"/>
  <c r="D9" i="11"/>
  <c r="N8" i="11"/>
  <c r="AG9" i="11" s="1"/>
  <c r="AF10" i="11" s="1"/>
  <c r="AE11" i="11" s="1"/>
  <c r="AE12" i="11" s="1"/>
  <c r="AD13" i="11" s="1"/>
  <c r="AC14" i="11" s="1"/>
  <c r="E45" i="11"/>
  <c r="E46" i="11" s="1"/>
  <c r="E47" i="11" s="1"/>
  <c r="Q44" i="11"/>
  <c r="D44" i="11"/>
  <c r="D45" i="11" s="1"/>
  <c r="D46" i="11" s="1"/>
  <c r="D47" i="11" s="1"/>
  <c r="Q43" i="11"/>
  <c r="D37" i="11"/>
  <c r="C38" i="11" s="1"/>
  <c r="K38" i="11" s="1"/>
  <c r="Q36" i="11"/>
  <c r="N17" i="11"/>
  <c r="K20" i="11"/>
  <c r="K18" i="11"/>
  <c r="D20" i="11"/>
  <c r="Q39" i="11"/>
  <c r="D40" i="11"/>
  <c r="D10" i="11"/>
  <c r="N9" i="11"/>
  <c r="AG10" i="11" s="1"/>
  <c r="AF11" i="11" s="1"/>
  <c r="AF12" i="11" s="1"/>
  <c r="AE13" i="11" s="1"/>
  <c r="AD14" i="11" s="1"/>
  <c r="AC15" i="11" s="1"/>
  <c r="D43" i="11"/>
  <c r="C44" i="11" s="1"/>
  <c r="Q42" i="11"/>
  <c r="N13" i="11"/>
  <c r="AG14" i="11" s="1"/>
  <c r="AF15" i="11" s="1"/>
  <c r="D14" i="11"/>
  <c r="N14" i="11"/>
  <c r="AG15" i="11" s="1"/>
  <c r="D15" i="11"/>
  <c r="C16" i="11" s="1"/>
  <c r="K16" i="11" s="1"/>
  <c r="N12" i="11"/>
  <c r="AG13" i="11" s="1"/>
  <c r="AF14" i="11" s="1"/>
  <c r="AE15" i="11" s="1"/>
  <c r="D13" i="11"/>
  <c r="N18" i="11"/>
  <c r="Q34" i="11"/>
  <c r="Q35" i="11"/>
  <c r="D36" i="11"/>
  <c r="D39" i="11"/>
  <c r="Q38" i="11"/>
  <c r="F56" i="11"/>
  <c r="E61" i="11"/>
  <c r="D61" i="11"/>
  <c r="I51" i="11"/>
  <c r="R35" i="11"/>
  <c r="C36" i="11"/>
  <c r="N10" i="11"/>
  <c r="AG11" i="11" s="1"/>
  <c r="AG12" i="11" s="1"/>
  <c r="AF13" i="11" s="1"/>
  <c r="AE14" i="11" s="1"/>
  <c r="AD15" i="11" s="1"/>
  <c r="C19" i="11"/>
  <c r="C20" i="11" s="1"/>
  <c r="Q40" i="11"/>
  <c r="D41" i="11"/>
  <c r="C42" i="11" s="1"/>
  <c r="K42" i="11" s="1"/>
  <c r="D65" i="11"/>
  <c r="U51" i="11"/>
  <c r="T56" i="11" s="1"/>
  <c r="D62" i="11"/>
  <c r="F61" i="11" s="1"/>
  <c r="O57" i="11"/>
  <c r="D58" i="11"/>
  <c r="N52" i="11"/>
  <c r="D57" i="11"/>
  <c r="AI39" i="11"/>
  <c r="AH39" i="11"/>
  <c r="E57" i="11"/>
  <c r="F58" i="11"/>
  <c r="E14" i="10"/>
  <c r="N14" i="10" s="1"/>
  <c r="N13" i="10"/>
  <c r="Q51" i="10"/>
  <c r="D44" i="10"/>
  <c r="D45" i="10" s="1"/>
  <c r="D46" i="10" s="1"/>
  <c r="D47" i="10" s="1"/>
  <c r="Q43" i="10"/>
  <c r="Q34" i="10"/>
  <c r="D35" i="10"/>
  <c r="Q36" i="10"/>
  <c r="D37" i="10"/>
  <c r="C38" i="10" s="1"/>
  <c r="K38" i="10" s="1"/>
  <c r="Q40" i="10"/>
  <c r="D41" i="10"/>
  <c r="C42" i="10" s="1"/>
  <c r="K42" i="10" s="1"/>
  <c r="D36" i="10"/>
  <c r="Q35" i="10"/>
  <c r="Q44" i="10"/>
  <c r="E45" i="10"/>
  <c r="E46" i="10" s="1"/>
  <c r="E47" i="10" s="1"/>
  <c r="Q38" i="10"/>
  <c r="D39" i="10"/>
  <c r="Q42" i="10"/>
  <c r="D43" i="10"/>
  <c r="C44" i="10" s="1"/>
  <c r="Q39" i="10"/>
  <c r="Z41" i="10" s="1"/>
  <c r="AB42" i="10" s="1"/>
  <c r="D40" i="10"/>
  <c r="D56" i="10"/>
  <c r="H52" i="10"/>
  <c r="H51" i="10"/>
  <c r="I52" i="10"/>
  <c r="F58" i="10"/>
  <c r="N46" i="10" s="1"/>
  <c r="T51" i="10"/>
  <c r="U51" i="10"/>
  <c r="E62" i="10"/>
  <c r="G61" i="10" s="1"/>
  <c r="T52" i="10"/>
  <c r="F57" i="10"/>
  <c r="N42" i="10" s="1"/>
  <c r="E58" i="10"/>
  <c r="N45" i="10" s="1"/>
  <c r="D11" i="10"/>
  <c r="C12" i="10" s="1"/>
  <c r="K12" i="10" s="1"/>
  <c r="K10" i="10"/>
  <c r="N8" i="10"/>
  <c r="AK9" i="10" s="1"/>
  <c r="AJ10" i="10" s="1"/>
  <c r="AI11" i="10" s="1"/>
  <c r="D9" i="10"/>
  <c r="D17" i="10"/>
  <c r="C18" i="10" s="1"/>
  <c r="N16" i="10"/>
  <c r="D18" i="10"/>
  <c r="D19" i="10" s="1"/>
  <c r="N17" i="10"/>
  <c r="N12" i="10"/>
  <c r="D13" i="10"/>
  <c r="D10" i="10"/>
  <c r="N9" i="10"/>
  <c r="AK10" i="10" s="1"/>
  <c r="AJ11" i="10" s="1"/>
  <c r="D14" i="10"/>
  <c r="N18" i="10"/>
  <c r="E19" i="10"/>
  <c r="E20" i="10" s="1"/>
  <c r="K20" i="10" s="1"/>
  <c r="D15" i="10"/>
  <c r="C16" i="10" s="1"/>
  <c r="K16" i="10" s="1"/>
  <c r="D58" i="10"/>
  <c r="N44" i="10" s="1"/>
  <c r="N52" i="10"/>
  <c r="N57" i="10" s="1"/>
  <c r="D57" i="10"/>
  <c r="N40" i="10" s="1"/>
  <c r="D65" i="10"/>
  <c r="K51" i="10"/>
  <c r="E56" i="10"/>
  <c r="E61" i="10"/>
  <c r="D61" i="10"/>
  <c r="L52" i="10"/>
  <c r="U52" i="10"/>
  <c r="R51" i="10"/>
  <c r="D62" i="10"/>
  <c r="F61" i="10" s="1"/>
  <c r="E57" i="10"/>
  <c r="N41" i="10" s="1"/>
  <c r="F56" i="10"/>
  <c r="Q52" i="10"/>
  <c r="D20" i="9"/>
  <c r="D13" i="9"/>
  <c r="N12" i="9"/>
  <c r="N18" i="9"/>
  <c r="AA19" i="9" s="1"/>
  <c r="E19" i="9"/>
  <c r="E20" i="9" s="1"/>
  <c r="K20" i="9" s="1"/>
  <c r="D41" i="9"/>
  <c r="Q40" i="9"/>
  <c r="D9" i="9"/>
  <c r="K10" i="9"/>
  <c r="N8" i="9"/>
  <c r="D36" i="9"/>
  <c r="Q35" i="9"/>
  <c r="E44" i="9"/>
  <c r="Q43" i="9"/>
  <c r="D35" i="9"/>
  <c r="Q34" i="9"/>
  <c r="O14" i="9"/>
  <c r="N16" i="9"/>
  <c r="K16" i="9"/>
  <c r="K38" i="9"/>
  <c r="I51" i="9"/>
  <c r="L52" i="9"/>
  <c r="N10" i="9"/>
  <c r="Q39" i="9"/>
  <c r="N17" i="9"/>
  <c r="N51" i="9"/>
  <c r="N9" i="9"/>
  <c r="O10" i="9"/>
  <c r="Q38" i="9"/>
  <c r="D45" i="9"/>
  <c r="D46" i="9" s="1"/>
  <c r="D47" i="9" s="1"/>
  <c r="N14" i="9"/>
  <c r="AA15" i="9" s="1"/>
  <c r="Q36" i="9"/>
  <c r="E62" i="9"/>
  <c r="G61" i="9" s="1"/>
  <c r="U51" i="9"/>
  <c r="N13" i="9"/>
  <c r="K18" i="9"/>
  <c r="L15" i="9"/>
  <c r="K15" i="9"/>
  <c r="K11" i="9"/>
  <c r="L11" i="9"/>
  <c r="AA18" i="9"/>
  <c r="Z19" i="9" s="1"/>
  <c r="K41" i="9"/>
  <c r="C42" i="9"/>
  <c r="K42" i="9" s="1"/>
  <c r="K12" i="9"/>
  <c r="N46" i="9"/>
  <c r="H39" i="9"/>
  <c r="G40" i="9" s="1"/>
  <c r="F41" i="9" s="1"/>
  <c r="E42" i="9" s="1"/>
  <c r="E56" i="9"/>
  <c r="F57" i="9"/>
  <c r="E57" i="9"/>
  <c r="O51" i="9"/>
  <c r="N57" i="9" s="1"/>
  <c r="U39" i="9" s="1"/>
  <c r="D58" i="9"/>
  <c r="D65" i="9"/>
  <c r="D56" i="9"/>
  <c r="T51" i="9"/>
  <c r="H51" i="9"/>
  <c r="D61" i="9"/>
  <c r="N45" i="9"/>
  <c r="L41" i="9"/>
  <c r="I52" i="9"/>
  <c r="Q51" i="9"/>
  <c r="O57" i="9" s="1"/>
  <c r="U40" i="9" s="1"/>
  <c r="H52" i="9"/>
  <c r="T52" i="9"/>
  <c r="D57" i="9"/>
  <c r="E61" i="9"/>
  <c r="K52" i="9"/>
  <c r="O56" i="9" s="1"/>
  <c r="K12" i="7"/>
  <c r="N12" i="7" s="1"/>
  <c r="AD13" i="7" s="1"/>
  <c r="H21" i="7"/>
  <c r="H22" i="7" s="1"/>
  <c r="H23" i="7" s="1"/>
  <c r="K19" i="7"/>
  <c r="C20" i="7"/>
  <c r="C21" i="7" s="1"/>
  <c r="C22" i="7" s="1"/>
  <c r="C23" i="7" s="1"/>
  <c r="D61" i="7"/>
  <c r="D65" i="7"/>
  <c r="F43" i="7"/>
  <c r="E44" i="7" s="1"/>
  <c r="F35" i="7"/>
  <c r="E36" i="7" s="1"/>
  <c r="E37" i="7"/>
  <c r="D38" i="7" s="1"/>
  <c r="C39" i="7" s="1"/>
  <c r="F41" i="7"/>
  <c r="E42" i="7" s="1"/>
  <c r="D43" i="7" s="1"/>
  <c r="C44" i="7" s="1"/>
  <c r="E35" i="7"/>
  <c r="D36" i="7" s="1"/>
  <c r="C37" i="7" s="1"/>
  <c r="E39" i="7"/>
  <c r="D40" i="7" s="1"/>
  <c r="C41" i="7" s="1"/>
  <c r="E34" i="7"/>
  <c r="D35" i="7" s="1"/>
  <c r="C36" i="7" s="1"/>
  <c r="M36" i="7" s="1"/>
  <c r="E38" i="7"/>
  <c r="D39" i="7" s="1"/>
  <c r="C40" i="7" s="1"/>
  <c r="E43" i="7"/>
  <c r="D44" i="7" s="1"/>
  <c r="D45" i="7" s="1"/>
  <c r="D46" i="7" s="1"/>
  <c r="D47" i="7" s="1"/>
  <c r="E40" i="7"/>
  <c r="D41" i="7" s="1"/>
  <c r="C42" i="7" s="1"/>
  <c r="E41" i="7"/>
  <c r="D42" i="7" s="1"/>
  <c r="C43" i="7" s="1"/>
  <c r="D58" i="7"/>
  <c r="N44" i="7" s="1"/>
  <c r="E57" i="7"/>
  <c r="H56" i="7" s="1"/>
  <c r="N52" i="7"/>
  <c r="E56" i="7"/>
  <c r="N37" i="7" s="1"/>
  <c r="T40" i="7" s="1"/>
  <c r="D56" i="7"/>
  <c r="N36" i="7" s="1"/>
  <c r="F56" i="7"/>
  <c r="N38" i="7" s="1"/>
  <c r="L51" i="7"/>
  <c r="K51" i="7"/>
  <c r="L37" i="7"/>
  <c r="D57" i="7"/>
  <c r="T52" i="7"/>
  <c r="H52" i="7"/>
  <c r="N51" i="7"/>
  <c r="E58" i="7"/>
  <c r="F58" i="7"/>
  <c r="O52" i="7"/>
  <c r="D62" i="7"/>
  <c r="F61" i="7" s="1"/>
  <c r="E62" i="7"/>
  <c r="G61" i="7" s="1"/>
  <c r="O51" i="7"/>
  <c r="Q51" i="7"/>
  <c r="R51" i="7"/>
  <c r="U52" i="7"/>
  <c r="E61" i="7"/>
  <c r="H51" i="7"/>
  <c r="T51" i="7"/>
  <c r="K52" i="7"/>
  <c r="F57" i="7"/>
  <c r="L11" i="7"/>
  <c r="O11" i="7" s="1"/>
  <c r="AH12" i="7" s="1"/>
  <c r="AH13" i="7" s="1"/>
  <c r="AH14" i="7" s="1"/>
  <c r="AG15" i="7" s="1"/>
  <c r="AF16" i="7" s="1"/>
  <c r="K11" i="7"/>
  <c r="N11" i="7" s="1"/>
  <c r="AD12" i="7" s="1"/>
  <c r="AC13" i="7" s="1"/>
  <c r="L15" i="7"/>
  <c r="O15" i="7" s="1"/>
  <c r="AH16" i="7" s="1"/>
  <c r="K15" i="7"/>
  <c r="N15" i="7" s="1"/>
  <c r="K18" i="7"/>
  <c r="M10" i="7"/>
  <c r="P10" i="7" s="1"/>
  <c r="AA11" i="7" s="1"/>
  <c r="L10" i="7"/>
  <c r="O10" i="7" s="1"/>
  <c r="AH11" i="7" s="1"/>
  <c r="AG12" i="7" s="1"/>
  <c r="AG13" i="7" s="1"/>
  <c r="AG14" i="7" s="1"/>
  <c r="AF15" i="7" s="1"/>
  <c r="AE16" i="7" s="1"/>
  <c r="K10" i="7"/>
  <c r="N10" i="7" s="1"/>
  <c r="AD11" i="7" s="1"/>
  <c r="AC12" i="7" s="1"/>
  <c r="AB13" i="7" s="1"/>
  <c r="L14" i="7"/>
  <c r="O14" i="7" s="1"/>
  <c r="AH15" i="7" s="1"/>
  <c r="AG16" i="7" s="1"/>
  <c r="K14" i="7"/>
  <c r="N14" i="7" s="1"/>
  <c r="K16" i="7"/>
  <c r="N16" i="7" s="1"/>
  <c r="K46" i="6"/>
  <c r="F58" i="6"/>
  <c r="N46" i="6" s="1"/>
  <c r="D58" i="6"/>
  <c r="N56" i="6"/>
  <c r="O36" i="6" s="1"/>
  <c r="O51" i="6"/>
  <c r="D65" i="6"/>
  <c r="E57" i="6"/>
  <c r="H56" i="6" s="1"/>
  <c r="E56" i="6"/>
  <c r="N37" i="6" s="1"/>
  <c r="E62" i="6"/>
  <c r="G61" i="6" s="1"/>
  <c r="T52" i="6"/>
  <c r="D57" i="6"/>
  <c r="N40" i="6" s="1"/>
  <c r="M36" i="6"/>
  <c r="L36" i="6"/>
  <c r="K36" i="6"/>
  <c r="N44" i="6"/>
  <c r="J56" i="6"/>
  <c r="K42" i="6"/>
  <c r="K45" i="6"/>
  <c r="K37" i="6"/>
  <c r="L37" i="6"/>
  <c r="K40" i="6"/>
  <c r="L40" i="6"/>
  <c r="N45" i="6"/>
  <c r="K56" i="6"/>
  <c r="L41" i="6"/>
  <c r="K41" i="6"/>
  <c r="R51" i="6"/>
  <c r="U52" i="6"/>
  <c r="T56" i="6" s="1"/>
  <c r="P36" i="6" s="1"/>
  <c r="D56" i="6"/>
  <c r="N36" i="6" s="1"/>
  <c r="K51" i="6"/>
  <c r="O56" i="6" s="1"/>
  <c r="O37" i="6" s="1"/>
  <c r="N52" i="6"/>
  <c r="N57" i="6" s="1"/>
  <c r="F56" i="6"/>
  <c r="N38" i="6" s="1"/>
  <c r="D62" i="6"/>
  <c r="F61" i="6" s="1"/>
  <c r="D61" i="6"/>
  <c r="E61" i="6"/>
  <c r="L51" i="6"/>
  <c r="F57" i="6"/>
  <c r="N41" i="6"/>
  <c r="Q52" i="6"/>
  <c r="L11" i="6"/>
  <c r="K11" i="6"/>
  <c r="Y12" i="6" s="1"/>
  <c r="X13" i="6" s="1"/>
  <c r="X14" i="6" s="1"/>
  <c r="W15" i="6" s="1"/>
  <c r="V16" i="6" s="1"/>
  <c r="U17" i="6" s="1"/>
  <c r="U18" i="6" s="1"/>
  <c r="T19" i="6" s="1"/>
  <c r="S20" i="6" s="1"/>
  <c r="R21" i="6" s="1"/>
  <c r="L15" i="6"/>
  <c r="K15" i="6"/>
  <c r="Y16" i="6" s="1"/>
  <c r="X17" i="6" s="1"/>
  <c r="X18" i="6" s="1"/>
  <c r="W19" i="6" s="1"/>
  <c r="V20" i="6" s="1"/>
  <c r="U21" i="6" s="1"/>
  <c r="K18" i="6"/>
  <c r="Y19" i="6" s="1"/>
  <c r="X20" i="6" s="1"/>
  <c r="W21" i="6" s="1"/>
  <c r="L14" i="6"/>
  <c r="K14" i="6"/>
  <c r="Y15" i="6" s="1"/>
  <c r="X16" i="6" s="1"/>
  <c r="W17" i="6" s="1"/>
  <c r="W18" i="6" s="1"/>
  <c r="V19" i="6" s="1"/>
  <c r="U20" i="6" s="1"/>
  <c r="T21" i="6" s="1"/>
  <c r="K20" i="6"/>
  <c r="Y21" i="6" s="1"/>
  <c r="M10" i="6"/>
  <c r="L10" i="6"/>
  <c r="K10" i="6"/>
  <c r="Y11" i="6" s="1"/>
  <c r="X12" i="6" s="1"/>
  <c r="W13" i="6" s="1"/>
  <c r="W14" i="6" s="1"/>
  <c r="V15" i="6" s="1"/>
  <c r="U16" i="6" s="1"/>
  <c r="T17" i="6" s="1"/>
  <c r="T18" i="6" s="1"/>
  <c r="S19" i="6" s="1"/>
  <c r="R20" i="6" s="1"/>
  <c r="Q21" i="6" s="1"/>
  <c r="L56" i="5"/>
  <c r="Y43" i="5"/>
  <c r="Y40" i="5"/>
  <c r="X41" i="5" s="1"/>
  <c r="W42" i="5" s="1"/>
  <c r="V43" i="5" s="1"/>
  <c r="Y42" i="5"/>
  <c r="X43" i="5" s="1"/>
  <c r="L41" i="5"/>
  <c r="AC42" i="5" s="1"/>
  <c r="M36" i="5"/>
  <c r="X38" i="5"/>
  <c r="W39" i="5" s="1"/>
  <c r="W40" i="5" s="1"/>
  <c r="V41" i="5" s="1"/>
  <c r="U42" i="5" s="1"/>
  <c r="T43" i="5" s="1"/>
  <c r="L36" i="5"/>
  <c r="AC37" i="5" s="1"/>
  <c r="AB38" i="5" s="1"/>
  <c r="AB39" i="5" s="1"/>
  <c r="AB40" i="5" s="1"/>
  <c r="AA41" i="5" s="1"/>
  <c r="Z42" i="5" s="1"/>
  <c r="L37" i="5"/>
  <c r="AC38" i="5" s="1"/>
  <c r="AC39" i="5" s="1"/>
  <c r="AC40" i="5" s="1"/>
  <c r="AB41" i="5" s="1"/>
  <c r="AA42" i="5" s="1"/>
  <c r="X39" i="5"/>
  <c r="X40" i="5" s="1"/>
  <c r="W41" i="5" s="1"/>
  <c r="V42" i="5" s="1"/>
  <c r="U43" i="5" s="1"/>
  <c r="L40" i="5"/>
  <c r="AC41" i="5" s="1"/>
  <c r="AB42" i="5" s="1"/>
  <c r="Y41" i="5"/>
  <c r="X42" i="5" s="1"/>
  <c r="W43" i="5" s="1"/>
  <c r="AA39" i="5"/>
  <c r="K10" i="5"/>
  <c r="N10" i="5" s="1"/>
  <c r="Y11" i="5" s="1"/>
  <c r="X12" i="5" s="1"/>
  <c r="W13" i="5" s="1"/>
  <c r="W14" i="5" s="1"/>
  <c r="V15" i="5" s="1"/>
  <c r="U16" i="5" s="1"/>
  <c r="T17" i="5" s="1"/>
  <c r="M10" i="5"/>
  <c r="P10" i="5" s="1"/>
  <c r="L10" i="5"/>
  <c r="O10" i="5" s="1"/>
  <c r="AC11" i="5" s="1"/>
  <c r="AB12" i="5" s="1"/>
  <c r="AB13" i="5" s="1"/>
  <c r="AB14" i="5" s="1"/>
  <c r="AA15" i="5" s="1"/>
  <c r="Z16" i="5" s="1"/>
  <c r="L11" i="5"/>
  <c r="O11" i="5" s="1"/>
  <c r="AC12" i="5" s="1"/>
  <c r="AC13" i="5" s="1"/>
  <c r="AC14" i="5" s="1"/>
  <c r="AB15" i="5" s="1"/>
  <c r="AA16" i="5" s="1"/>
  <c r="K11" i="5"/>
  <c r="N11" i="5" s="1"/>
  <c r="Y12" i="5" s="1"/>
  <c r="X13" i="5" s="1"/>
  <c r="X14" i="5" s="1"/>
  <c r="W15" i="5" s="1"/>
  <c r="V16" i="5" s="1"/>
  <c r="U17" i="5" s="1"/>
  <c r="K16" i="5"/>
  <c r="N16" i="5" s="1"/>
  <c r="Y17" i="5" s="1"/>
  <c r="K18" i="5"/>
  <c r="L14" i="5"/>
  <c r="O14" i="5" s="1"/>
  <c r="AC15" i="5" s="1"/>
  <c r="AB16" i="5" s="1"/>
  <c r="K14" i="5"/>
  <c r="N14" i="5" s="1"/>
  <c r="Y15" i="5" s="1"/>
  <c r="X16" i="5" s="1"/>
  <c r="W17" i="5" s="1"/>
  <c r="K12" i="5"/>
  <c r="N12" i="5" s="1"/>
  <c r="Y13" i="5" s="1"/>
  <c r="Y14" i="5" s="1"/>
  <c r="X15" i="5" s="1"/>
  <c r="W16" i="5" s="1"/>
  <c r="V17" i="5" s="1"/>
  <c r="L15" i="5"/>
  <c r="O15" i="5" s="1"/>
  <c r="AC16" i="5" s="1"/>
  <c r="K15" i="5"/>
  <c r="N15" i="5" s="1"/>
  <c r="Y16" i="5" s="1"/>
  <c r="X17" i="5" s="1"/>
  <c r="K19" i="5"/>
  <c r="AZ12" i="4"/>
  <c r="K12" i="4"/>
  <c r="N12" i="4" s="1"/>
  <c r="F14" i="4"/>
  <c r="E15" i="4" s="1"/>
  <c r="D16" i="4" s="1"/>
  <c r="C17" i="4" s="1"/>
  <c r="AR14" i="4"/>
  <c r="C14" i="4"/>
  <c r="AS14" i="4"/>
  <c r="AR15" i="4" s="1"/>
  <c r="BA15" i="4" s="1"/>
  <c r="E14" i="4"/>
  <c r="D15" i="4" s="1"/>
  <c r="C16" i="4" s="1"/>
  <c r="K16" i="4" s="1"/>
  <c r="N16" i="4" s="1"/>
  <c r="D14" i="4"/>
  <c r="C15" i="4" s="1"/>
  <c r="AT14" i="4"/>
  <c r="AS15" i="4" s="1"/>
  <c r="AR16" i="4" s="1"/>
  <c r="AZ16" i="4" s="1"/>
  <c r="AZ18" i="4"/>
  <c r="AZ20" i="4"/>
  <c r="K19" i="4"/>
  <c r="K18" i="4"/>
  <c r="M10" i="4"/>
  <c r="P10" i="4" s="1"/>
  <c r="L10" i="4"/>
  <c r="O10" i="4" s="1"/>
  <c r="AH11" i="4" s="1"/>
  <c r="AG12" i="4" s="1"/>
  <c r="AG13" i="4" s="1"/>
  <c r="K10" i="4"/>
  <c r="N10" i="4" s="1"/>
  <c r="AD11" i="4" s="1"/>
  <c r="AC12" i="4" s="1"/>
  <c r="AB13" i="4" s="1"/>
  <c r="BB10" i="4"/>
  <c r="BA10" i="4"/>
  <c r="AZ10" i="4"/>
  <c r="AZ11" i="4"/>
  <c r="BA11" i="4"/>
  <c r="K20" i="4"/>
  <c r="L11" i="4"/>
  <c r="O11" i="4" s="1"/>
  <c r="AH12" i="4" s="1"/>
  <c r="AH13" i="4" s="1"/>
  <c r="K11" i="4"/>
  <c r="N11" i="4" s="1"/>
  <c r="AD12" i="4" s="1"/>
  <c r="AC13" i="4" s="1"/>
  <c r="AZ19" i="4"/>
  <c r="AZ20" i="3"/>
  <c r="K16" i="3"/>
  <c r="N16" i="3" s="1"/>
  <c r="Y17" i="3" s="1"/>
  <c r="Y18" i="3" s="1"/>
  <c r="AZ18" i="3"/>
  <c r="AZ19" i="3"/>
  <c r="Z14" i="3"/>
  <c r="AA14" i="3"/>
  <c r="Z15" i="3" s="1"/>
  <c r="Z13" i="3"/>
  <c r="BA10" i="3"/>
  <c r="BB10" i="3"/>
  <c r="AZ10" i="3"/>
  <c r="BA15" i="3"/>
  <c r="AZ15" i="3"/>
  <c r="BA14" i="3"/>
  <c r="AZ14" i="3"/>
  <c r="AZ12" i="3"/>
  <c r="N12" i="3"/>
  <c r="L14" i="3"/>
  <c r="O14" i="3" s="1"/>
  <c r="K14" i="3"/>
  <c r="K15" i="3"/>
  <c r="L15" i="3"/>
  <c r="O15" i="3" s="1"/>
  <c r="K10" i="3"/>
  <c r="M10" i="3"/>
  <c r="P10" i="3" s="1"/>
  <c r="BF10" i="3" s="1"/>
  <c r="BU11" i="3" s="1"/>
  <c r="L10" i="3"/>
  <c r="O10" i="3" s="1"/>
  <c r="K11" i="3"/>
  <c r="L11" i="3"/>
  <c r="O11" i="3" s="1"/>
  <c r="BA11" i="3"/>
  <c r="AZ11" i="3"/>
  <c r="K18" i="3"/>
  <c r="K20" i="3"/>
  <c r="BE13" i="3"/>
  <c r="AK13" i="2"/>
  <c r="K18" i="2"/>
  <c r="W19" i="2" s="1"/>
  <c r="V20" i="2" s="1"/>
  <c r="U21" i="2" s="1"/>
  <c r="AZ16" i="2"/>
  <c r="AZ18" i="2"/>
  <c r="AZ19" i="2"/>
  <c r="AZ12" i="2"/>
  <c r="BA11" i="2"/>
  <c r="AZ11" i="2"/>
  <c r="BA10" i="2"/>
  <c r="BB10" i="2"/>
  <c r="AZ10" i="2"/>
  <c r="BA14" i="2"/>
  <c r="AZ14" i="2"/>
  <c r="AZ15" i="2"/>
  <c r="BA15" i="2"/>
  <c r="AZ20" i="2"/>
  <c r="AD14" i="2"/>
  <c r="BE13" i="2"/>
  <c r="K20" i="2"/>
  <c r="W21" i="2" s="1"/>
  <c r="K11" i="2"/>
  <c r="L11" i="2"/>
  <c r="Z11" i="2" s="1"/>
  <c r="L15" i="2"/>
  <c r="Z15" i="2" s="1"/>
  <c r="K15" i="2"/>
  <c r="K14" i="2"/>
  <c r="L14" i="2"/>
  <c r="Z14" i="2" s="1"/>
  <c r="K10" i="2"/>
  <c r="M10" i="2"/>
  <c r="AA10" i="2" s="1"/>
  <c r="BF10" i="2" s="1"/>
  <c r="BU11" i="2" s="1"/>
  <c r="L10" i="2"/>
  <c r="Z10" i="2" s="1"/>
  <c r="K16" i="2"/>
  <c r="K12" i="2"/>
  <c r="K19" i="2"/>
  <c r="W20" i="2" s="1"/>
  <c r="V21" i="2" s="1"/>
  <c r="AK14" i="2"/>
  <c r="AG21" i="1"/>
  <c r="AF22" i="1" s="1"/>
  <c r="AG22" i="1"/>
  <c r="V12" i="1"/>
  <c r="R19" i="1"/>
  <c r="P19" i="1"/>
  <c r="N19" i="1"/>
  <c r="O19" i="1"/>
  <c r="K56" i="11" l="1"/>
  <c r="T43" i="11" s="1"/>
  <c r="N57" i="11"/>
  <c r="AA40" i="10"/>
  <c r="Z43" i="10"/>
  <c r="X44" i="10"/>
  <c r="Z39" i="10"/>
  <c r="N42" i="11"/>
  <c r="N56" i="11"/>
  <c r="O36" i="11" s="1"/>
  <c r="AK37" i="11" s="1"/>
  <c r="AJ38" i="11" s="1"/>
  <c r="AJ39" i="11" s="1"/>
  <c r="AJ40" i="11" s="1"/>
  <c r="AI41" i="11" s="1"/>
  <c r="AH42" i="11" s="1"/>
  <c r="P36" i="11"/>
  <c r="V36" i="11"/>
  <c r="G56" i="11"/>
  <c r="T38" i="11" s="1"/>
  <c r="N40" i="11"/>
  <c r="C41" i="11"/>
  <c r="R40" i="11"/>
  <c r="T34" i="11"/>
  <c r="N36" i="11"/>
  <c r="N44" i="11"/>
  <c r="J56" i="11"/>
  <c r="T42" i="11" s="1"/>
  <c r="N37" i="11"/>
  <c r="T35" i="11"/>
  <c r="N46" i="11"/>
  <c r="L56" i="11"/>
  <c r="T44" i="11" s="1"/>
  <c r="O41" i="11"/>
  <c r="AK42" i="11" s="1"/>
  <c r="U40" i="11"/>
  <c r="Q56" i="11"/>
  <c r="T36" i="11"/>
  <c r="N38" i="11"/>
  <c r="C45" i="11"/>
  <c r="K44" i="11"/>
  <c r="R36" i="11"/>
  <c r="C37" i="11"/>
  <c r="C15" i="11"/>
  <c r="O14" i="11"/>
  <c r="AK15" i="11" s="1"/>
  <c r="N41" i="11"/>
  <c r="H56" i="11"/>
  <c r="T39" i="11" s="1"/>
  <c r="O37" i="11"/>
  <c r="AK38" i="11" s="1"/>
  <c r="AK39" i="11" s="1"/>
  <c r="AK40" i="11" s="1"/>
  <c r="AJ41" i="11" s="1"/>
  <c r="AI42" i="11" s="1"/>
  <c r="U36" i="11"/>
  <c r="M36" i="11"/>
  <c r="S36" i="11"/>
  <c r="L36" i="11"/>
  <c r="K36" i="11"/>
  <c r="C40" i="11"/>
  <c r="R39" i="11"/>
  <c r="C11" i="11"/>
  <c r="O10" i="11"/>
  <c r="AK11" i="11" s="1"/>
  <c r="C10" i="11"/>
  <c r="O9" i="11"/>
  <c r="AK10" i="11" s="1"/>
  <c r="AJ11" i="11" s="1"/>
  <c r="AJ12" i="11" s="1"/>
  <c r="AJ13" i="11" s="1"/>
  <c r="AI14" i="11" s="1"/>
  <c r="AH15" i="11" s="1"/>
  <c r="P56" i="11"/>
  <c r="U39" i="11"/>
  <c r="O40" i="11"/>
  <c r="AK41" i="11" s="1"/>
  <c r="AJ42" i="11" s="1"/>
  <c r="C14" i="11"/>
  <c r="O13" i="11"/>
  <c r="AK14" i="11" s="1"/>
  <c r="AJ15" i="11" s="1"/>
  <c r="AH40" i="11"/>
  <c r="AI40" i="11"/>
  <c r="AH41" i="11" s="1"/>
  <c r="K56" i="10"/>
  <c r="T43" i="10" s="1"/>
  <c r="N56" i="10"/>
  <c r="U35" i="10" s="1"/>
  <c r="C40" i="10"/>
  <c r="R39" i="10"/>
  <c r="C36" i="10"/>
  <c r="R35" i="10"/>
  <c r="T35" i="10"/>
  <c r="N37" i="10"/>
  <c r="U39" i="10"/>
  <c r="O40" i="10"/>
  <c r="T34" i="10"/>
  <c r="N36" i="10"/>
  <c r="C45" i="10"/>
  <c r="K44" i="10"/>
  <c r="C41" i="10"/>
  <c r="R40" i="10"/>
  <c r="T36" i="10"/>
  <c r="N38" i="10"/>
  <c r="R36" i="10"/>
  <c r="C37" i="10"/>
  <c r="T56" i="10"/>
  <c r="L56" i="10"/>
  <c r="T44" i="10" s="1"/>
  <c r="I56" i="10"/>
  <c r="T40" i="10" s="1"/>
  <c r="O57" i="10"/>
  <c r="C19" i="10"/>
  <c r="C20" i="10" s="1"/>
  <c r="K18" i="10"/>
  <c r="O9" i="10"/>
  <c r="C10" i="10"/>
  <c r="C11" i="10"/>
  <c r="O10" i="10"/>
  <c r="K19" i="10"/>
  <c r="D20" i="10"/>
  <c r="O14" i="10"/>
  <c r="C15" i="10"/>
  <c r="O13" i="10"/>
  <c r="C14" i="10"/>
  <c r="G56" i="10"/>
  <c r="T38" i="10" s="1"/>
  <c r="J56" i="10"/>
  <c r="T42" i="10" s="1"/>
  <c r="P56" i="10"/>
  <c r="H56" i="10"/>
  <c r="T39" i="10" s="1"/>
  <c r="O56" i="10"/>
  <c r="O37" i="9"/>
  <c r="W40" i="9" s="1"/>
  <c r="U36" i="9"/>
  <c r="C36" i="9"/>
  <c r="R35" i="9"/>
  <c r="N37" i="9"/>
  <c r="T35" i="9"/>
  <c r="E45" i="9"/>
  <c r="E46" i="9" s="1"/>
  <c r="E47" i="9" s="1"/>
  <c r="Q44" i="9"/>
  <c r="D43" i="9"/>
  <c r="C44" i="9" s="1"/>
  <c r="Q42" i="9"/>
  <c r="T34" i="9"/>
  <c r="N36" i="9"/>
  <c r="R39" i="9"/>
  <c r="C37" i="9"/>
  <c r="R36" i="9"/>
  <c r="C14" i="9"/>
  <c r="O13" i="9"/>
  <c r="K19" i="9"/>
  <c r="C10" i="9"/>
  <c r="O9" i="9"/>
  <c r="X41" i="9"/>
  <c r="W41" i="9"/>
  <c r="X42" i="9" s="1"/>
  <c r="AA9" i="9"/>
  <c r="AA16" i="9"/>
  <c r="Z17" i="9" s="1"/>
  <c r="Z18" i="9" s="1"/>
  <c r="Y19" i="9" s="1"/>
  <c r="Z16" i="9"/>
  <c r="Y17" i="9" s="1"/>
  <c r="Y18" i="9" s="1"/>
  <c r="X19" i="9" s="1"/>
  <c r="J56" i="9"/>
  <c r="T42" i="9" s="1"/>
  <c r="N44" i="9"/>
  <c r="P56" i="9"/>
  <c r="O40" i="9"/>
  <c r="AA13" i="9"/>
  <c r="AA14" i="9"/>
  <c r="Z15" i="9" s="1"/>
  <c r="Y16" i="9" s="1"/>
  <c r="X17" i="9" s="1"/>
  <c r="X18" i="9" s="1"/>
  <c r="W19" i="9" s="1"/>
  <c r="H56" i="9"/>
  <c r="T39" i="9" s="1"/>
  <c r="N41" i="9"/>
  <c r="AA11" i="9"/>
  <c r="AA10" i="9"/>
  <c r="L40" i="9"/>
  <c r="O41" i="9"/>
  <c r="Q56" i="9"/>
  <c r="I56" i="9"/>
  <c r="T40" i="9" s="1"/>
  <c r="N42" i="9"/>
  <c r="K40" i="9"/>
  <c r="T56" i="9"/>
  <c r="G56" i="9"/>
  <c r="T38" i="9" s="1"/>
  <c r="N40" i="9"/>
  <c r="N56" i="9"/>
  <c r="AA17" i="9"/>
  <c r="K20" i="7"/>
  <c r="J56" i="7"/>
  <c r="K40" i="7"/>
  <c r="N41" i="7"/>
  <c r="L41" i="7"/>
  <c r="K44" i="7"/>
  <c r="C45" i="7"/>
  <c r="C46" i="7" s="1"/>
  <c r="C47" i="7" s="1"/>
  <c r="K42" i="7"/>
  <c r="E45" i="7"/>
  <c r="E46" i="7" s="1"/>
  <c r="E47" i="7" s="1"/>
  <c r="K36" i="7"/>
  <c r="T44" i="7"/>
  <c r="D37" i="7"/>
  <c r="L36" i="7"/>
  <c r="L40" i="7"/>
  <c r="K41" i="7"/>
  <c r="AD38" i="7"/>
  <c r="AC39" i="7" s="1"/>
  <c r="Q38" i="7"/>
  <c r="R39" i="7" s="1"/>
  <c r="N57" i="7"/>
  <c r="O40" i="7" s="1"/>
  <c r="AH41" i="7" s="1"/>
  <c r="AG42" i="7" s="1"/>
  <c r="AD39" i="7"/>
  <c r="Q44" i="7"/>
  <c r="AD37" i="7"/>
  <c r="AC38" i="7" s="1"/>
  <c r="AB39" i="7" s="1"/>
  <c r="O56" i="7"/>
  <c r="O37" i="7" s="1"/>
  <c r="S39" i="7" s="1"/>
  <c r="S40" i="7" s="1"/>
  <c r="K56" i="7"/>
  <c r="N45" i="7"/>
  <c r="O57" i="7"/>
  <c r="N40" i="7"/>
  <c r="G56" i="7"/>
  <c r="N56" i="7"/>
  <c r="O36" i="7" s="1"/>
  <c r="N42" i="7"/>
  <c r="I56" i="7"/>
  <c r="T56" i="7"/>
  <c r="P36" i="7" s="1"/>
  <c r="N46" i="7"/>
  <c r="L56" i="7"/>
  <c r="L56" i="6"/>
  <c r="O57" i="6"/>
  <c r="Q56" i="6" s="1"/>
  <c r="G56" i="6"/>
  <c r="Q38" i="6"/>
  <c r="Q39" i="6" s="1"/>
  <c r="R40" i="6" s="1"/>
  <c r="P56" i="6"/>
  <c r="O40" i="6"/>
  <c r="Q42" i="6" s="1"/>
  <c r="Q40" i="6"/>
  <c r="R39" i="6"/>
  <c r="N42" i="6"/>
  <c r="I56" i="6"/>
  <c r="AA40" i="5"/>
  <c r="Z41" i="5" s="1"/>
  <c r="Z40" i="5"/>
  <c r="BD12" i="4"/>
  <c r="BT13" i="4" s="1"/>
  <c r="AD13" i="4"/>
  <c r="L14" i="4"/>
  <c r="O14" i="4" s="1"/>
  <c r="AH15" i="4" s="1"/>
  <c r="AG16" i="4" s="1"/>
  <c r="AZ15" i="4"/>
  <c r="AZ14" i="4"/>
  <c r="AH14" i="4"/>
  <c r="AG15" i="4" s="1"/>
  <c r="AF16" i="4" s="1"/>
  <c r="K15" i="4"/>
  <c r="N15" i="4" s="1"/>
  <c r="L15" i="4"/>
  <c r="O15" i="4" s="1"/>
  <c r="AH16" i="4" s="1"/>
  <c r="AG14" i="4"/>
  <c r="AF15" i="4" s="1"/>
  <c r="AE16" i="4" s="1"/>
  <c r="BA14" i="4"/>
  <c r="K14" i="4"/>
  <c r="N14" i="4" s="1"/>
  <c r="BF10" i="4"/>
  <c r="BU11" i="4" s="1"/>
  <c r="AA11" i="4"/>
  <c r="BE11" i="4"/>
  <c r="CA12" i="4" s="1"/>
  <c r="CA13" i="4" s="1"/>
  <c r="BD10" i="4"/>
  <c r="BT11" i="4" s="1"/>
  <c r="BS12" i="4" s="1"/>
  <c r="BR13" i="4" s="1"/>
  <c r="BE14" i="4"/>
  <c r="CA15" i="4" s="1"/>
  <c r="BZ16" i="4" s="1"/>
  <c r="BE10" i="4"/>
  <c r="CA11" i="4" s="1"/>
  <c r="BZ12" i="4" s="1"/>
  <c r="BZ13" i="4" s="1"/>
  <c r="BD11" i="4"/>
  <c r="BT12" i="4" s="1"/>
  <c r="BS13" i="4" s="1"/>
  <c r="BE15" i="3"/>
  <c r="CA16" i="3" s="1"/>
  <c r="AC16" i="3"/>
  <c r="N15" i="3"/>
  <c r="Y16" i="3" s="1"/>
  <c r="X17" i="3" s="1"/>
  <c r="X18" i="3" s="1"/>
  <c r="W19" i="3" s="1"/>
  <c r="V20" i="3" s="1"/>
  <c r="U21" i="3" s="1"/>
  <c r="T22" i="3" s="1"/>
  <c r="N14" i="3"/>
  <c r="Y15" i="3" s="1"/>
  <c r="X16" i="3" s="1"/>
  <c r="W17" i="3" s="1"/>
  <c r="W18" i="3" s="1"/>
  <c r="V19" i="3" s="1"/>
  <c r="U20" i="3" s="1"/>
  <c r="T21" i="3" s="1"/>
  <c r="S22" i="3" s="1"/>
  <c r="BE11" i="3"/>
  <c r="CA12" i="3" s="1"/>
  <c r="CA13" i="3" s="1"/>
  <c r="CA14" i="3" s="1"/>
  <c r="BZ15" i="3" s="1"/>
  <c r="BY16" i="3" s="1"/>
  <c r="AC12" i="3"/>
  <c r="AC13" i="3" s="1"/>
  <c r="AC14" i="3" s="1"/>
  <c r="AB15" i="3" s="1"/>
  <c r="AA16" i="3" s="1"/>
  <c r="BE14" i="3"/>
  <c r="CA15" i="3" s="1"/>
  <c r="BZ16" i="3" s="1"/>
  <c r="AC15" i="3"/>
  <c r="AB16" i="3" s="1"/>
  <c r="N11" i="3"/>
  <c r="Y13" i="3"/>
  <c r="Y14" i="3" s="1"/>
  <c r="X15" i="3" s="1"/>
  <c r="W16" i="3" s="1"/>
  <c r="V17" i="3" s="1"/>
  <c r="V18" i="3" s="1"/>
  <c r="U19" i="3" s="1"/>
  <c r="T20" i="3" s="1"/>
  <c r="S21" i="3" s="1"/>
  <c r="BD12" i="3"/>
  <c r="BT13" i="3" s="1"/>
  <c r="BE10" i="3"/>
  <c r="CA11" i="3" s="1"/>
  <c r="BZ12" i="3" s="1"/>
  <c r="BZ13" i="3" s="1"/>
  <c r="BZ14" i="3" s="1"/>
  <c r="BY15" i="3" s="1"/>
  <c r="BX16" i="3" s="1"/>
  <c r="AC11" i="3"/>
  <c r="AB12" i="3" s="1"/>
  <c r="AB13" i="3" s="1"/>
  <c r="AB14" i="3" s="1"/>
  <c r="AA15" i="3" s="1"/>
  <c r="Z16" i="3" s="1"/>
  <c r="Y19" i="3"/>
  <c r="X19" i="3"/>
  <c r="W20" i="3" s="1"/>
  <c r="V21" i="3" s="1"/>
  <c r="U22" i="3" s="1"/>
  <c r="N10" i="3"/>
  <c r="AN11" i="2"/>
  <c r="AM12" i="2" s="1"/>
  <c r="AM13" i="2" s="1"/>
  <c r="AM14" i="2" s="1"/>
  <c r="AL15" i="2" s="1"/>
  <c r="AK16" i="2" s="1"/>
  <c r="BE10" i="2"/>
  <c r="CA11" i="2" s="1"/>
  <c r="BZ12" i="2" s="1"/>
  <c r="BZ13" i="2" s="1"/>
  <c r="BZ14" i="2" s="1"/>
  <c r="BY15" i="2" s="1"/>
  <c r="BX16" i="2" s="1"/>
  <c r="AN16" i="2"/>
  <c r="BE15" i="2"/>
  <c r="CA16" i="2" s="1"/>
  <c r="AN12" i="2"/>
  <c r="AN13" i="2" s="1"/>
  <c r="AN14" i="2" s="1"/>
  <c r="AM15" i="2" s="1"/>
  <c r="AL16" i="2" s="1"/>
  <c r="BE11" i="2"/>
  <c r="CA12" i="2" s="1"/>
  <c r="CA13" i="2" s="1"/>
  <c r="CA14" i="2" s="1"/>
  <c r="BZ15" i="2" s="1"/>
  <c r="BY16" i="2" s="1"/>
  <c r="AN15" i="2"/>
  <c r="AM16" i="2" s="1"/>
  <c r="BE14" i="2"/>
  <c r="CA15" i="2" s="1"/>
  <c r="BZ16" i="2" s="1"/>
  <c r="W13" i="2"/>
  <c r="W14" i="2" s="1"/>
  <c r="V15" i="2" s="1"/>
  <c r="U16" i="2" s="1"/>
  <c r="T17" i="2" s="1"/>
  <c r="T18" i="2" s="1"/>
  <c r="S19" i="2" s="1"/>
  <c r="R20" i="2" s="1"/>
  <c r="Q21" i="2" s="1"/>
  <c r="Y12" i="2"/>
  <c r="W17" i="2"/>
  <c r="W18" i="2" s="1"/>
  <c r="V19" i="2" s="1"/>
  <c r="U20" i="2" s="1"/>
  <c r="T21" i="2" s="1"/>
  <c r="Y16" i="2"/>
  <c r="AJ17" i="2" s="1"/>
  <c r="AJ18" i="2" s="1"/>
  <c r="Y10" i="2"/>
  <c r="W11" i="2"/>
  <c r="V12" i="2" s="1"/>
  <c r="U13" i="2" s="1"/>
  <c r="U14" i="2" s="1"/>
  <c r="T15" i="2" s="1"/>
  <c r="S16" i="2" s="1"/>
  <c r="R17" i="2" s="1"/>
  <c r="R18" i="2" s="1"/>
  <c r="Q19" i="2" s="1"/>
  <c r="P20" i="2" s="1"/>
  <c r="O21" i="2" s="1"/>
  <c r="W15" i="2"/>
  <c r="V16" i="2" s="1"/>
  <c r="U17" i="2" s="1"/>
  <c r="U18" i="2" s="1"/>
  <c r="T19" i="2" s="1"/>
  <c r="S20" i="2" s="1"/>
  <c r="R21" i="2" s="1"/>
  <c r="Y14" i="2"/>
  <c r="AJ15" i="2" s="1"/>
  <c r="AI16" i="2" s="1"/>
  <c r="AH17" i="2" s="1"/>
  <c r="AH18" i="2" s="1"/>
  <c r="AG19" i="2" s="1"/>
  <c r="AF20" i="2" s="1"/>
  <c r="AE21" i="2" s="1"/>
  <c r="AD22" i="2" s="1"/>
  <c r="W16" i="2"/>
  <c r="V17" i="2" s="1"/>
  <c r="V18" i="2" s="1"/>
  <c r="U19" i="2" s="1"/>
  <c r="T20" i="2" s="1"/>
  <c r="S21" i="2" s="1"/>
  <c r="Y15" i="2"/>
  <c r="AJ16" i="2" s="1"/>
  <c r="AI17" i="2" s="1"/>
  <c r="AI18" i="2" s="1"/>
  <c r="AH19" i="2" s="1"/>
  <c r="AG20" i="2" s="1"/>
  <c r="AF21" i="2" s="1"/>
  <c r="AE22" i="2" s="1"/>
  <c r="Y11" i="2"/>
  <c r="W12" i="2"/>
  <c r="V13" i="2" s="1"/>
  <c r="V14" i="2" s="1"/>
  <c r="U15" i="2" s="1"/>
  <c r="T16" i="2" s="1"/>
  <c r="S17" i="2" s="1"/>
  <c r="S18" i="2" s="1"/>
  <c r="R19" i="2" s="1"/>
  <c r="Q20" i="2" s="1"/>
  <c r="P21" i="2" s="1"/>
  <c r="AH18" i="1"/>
  <c r="AG19" i="1" s="1"/>
  <c r="AF20" i="1" s="1"/>
  <c r="AE21" i="1" s="1"/>
  <c r="AD22" i="1" s="1"/>
  <c r="U13" i="1"/>
  <c r="U14" i="1" s="1"/>
  <c r="X44" i="11" l="1"/>
  <c r="U35" i="11"/>
  <c r="X38" i="11"/>
  <c r="Y39" i="11" s="1"/>
  <c r="X45" i="10"/>
  <c r="Y46" i="10" s="1"/>
  <c r="Y45" i="10"/>
  <c r="AB44" i="10"/>
  <c r="Z40" i="10"/>
  <c r="AB41" i="10" s="1"/>
  <c r="AC41" i="10" s="1"/>
  <c r="AD42" i="10" s="1"/>
  <c r="AB40" i="10"/>
  <c r="AB42" i="11"/>
  <c r="K11" i="11"/>
  <c r="L11" i="11"/>
  <c r="L41" i="11"/>
  <c r="K41" i="11"/>
  <c r="AK13" i="11"/>
  <c r="AJ14" i="11" s="1"/>
  <c r="AI15" i="11" s="1"/>
  <c r="AK12" i="11"/>
  <c r="K45" i="11"/>
  <c r="C46" i="11"/>
  <c r="X40" i="11"/>
  <c r="K40" i="11"/>
  <c r="L40" i="11"/>
  <c r="X42" i="11"/>
  <c r="L14" i="11"/>
  <c r="K14" i="11"/>
  <c r="L15" i="11"/>
  <c r="K15" i="11"/>
  <c r="X45" i="11"/>
  <c r="Y46" i="11" s="1"/>
  <c r="Y45" i="11"/>
  <c r="K37" i="11"/>
  <c r="L37" i="11"/>
  <c r="M10" i="11"/>
  <c r="L10" i="11"/>
  <c r="P10" i="11"/>
  <c r="O36" i="10"/>
  <c r="L41" i="10"/>
  <c r="K41" i="10"/>
  <c r="U36" i="10"/>
  <c r="O37" i="10"/>
  <c r="P36" i="10"/>
  <c r="V36" i="10"/>
  <c r="C46" i="10"/>
  <c r="K45" i="10"/>
  <c r="K37" i="10"/>
  <c r="L37" i="10"/>
  <c r="U40" i="10"/>
  <c r="O41" i="10"/>
  <c r="M36" i="10"/>
  <c r="L36" i="10"/>
  <c r="S36" i="10"/>
  <c r="K36" i="10"/>
  <c r="L40" i="10"/>
  <c r="K40" i="10"/>
  <c r="Q56" i="10"/>
  <c r="L11" i="10"/>
  <c r="K11" i="10"/>
  <c r="K14" i="10"/>
  <c r="L14" i="10"/>
  <c r="P10" i="10"/>
  <c r="M10" i="10"/>
  <c r="L10" i="10"/>
  <c r="L15" i="10"/>
  <c r="K15" i="10"/>
  <c r="P10" i="9"/>
  <c r="L10" i="9"/>
  <c r="M10" i="9"/>
  <c r="L14" i="9"/>
  <c r="K14" i="9"/>
  <c r="L37" i="9"/>
  <c r="K37" i="9"/>
  <c r="O36" i="9"/>
  <c r="W38" i="9" s="1"/>
  <c r="W39" i="9" s="1"/>
  <c r="X40" i="9" s="1"/>
  <c r="U35" i="9"/>
  <c r="S36" i="9"/>
  <c r="M36" i="9"/>
  <c r="L36" i="9"/>
  <c r="K36" i="9"/>
  <c r="P36" i="9"/>
  <c r="V36" i="9"/>
  <c r="W42" i="9"/>
  <c r="W43" i="9" s="1"/>
  <c r="X44" i="9" s="1"/>
  <c r="K44" i="9"/>
  <c r="C45" i="9"/>
  <c r="X43" i="9"/>
  <c r="X39" i="9"/>
  <c r="W44" i="9"/>
  <c r="Z12" i="9"/>
  <c r="Y13" i="9" s="1"/>
  <c r="Y14" i="9" s="1"/>
  <c r="X15" i="9" s="1"/>
  <c r="W16" i="9" s="1"/>
  <c r="V17" i="9" s="1"/>
  <c r="V18" i="9" s="1"/>
  <c r="U19" i="9" s="1"/>
  <c r="AA12" i="9"/>
  <c r="Z13" i="9" s="1"/>
  <c r="Z14" i="9" s="1"/>
  <c r="Y15" i="9" s="1"/>
  <c r="X16" i="9" s="1"/>
  <c r="W17" i="9" s="1"/>
  <c r="W18" i="9" s="1"/>
  <c r="V19" i="9" s="1"/>
  <c r="K46" i="7"/>
  <c r="K45" i="7"/>
  <c r="T46" i="7"/>
  <c r="AH37" i="7"/>
  <c r="AG38" i="7" s="1"/>
  <c r="AG39" i="7" s="1"/>
  <c r="AG40" i="7" s="1"/>
  <c r="AF41" i="7" s="1"/>
  <c r="AE42" i="7" s="1"/>
  <c r="S45" i="7"/>
  <c r="T42" i="7"/>
  <c r="AA37" i="7"/>
  <c r="S43" i="7"/>
  <c r="S44" i="7" s="1"/>
  <c r="P56" i="7"/>
  <c r="C38" i="7"/>
  <c r="K38" i="7" s="1"/>
  <c r="K37" i="7"/>
  <c r="Q42" i="7"/>
  <c r="Q43" i="7" s="1"/>
  <c r="R44" i="7" s="1"/>
  <c r="AH38" i="7"/>
  <c r="AH39" i="7" s="1"/>
  <c r="AH40" i="7" s="1"/>
  <c r="AG41" i="7" s="1"/>
  <c r="AF42" i="7" s="1"/>
  <c r="Q40" i="7"/>
  <c r="S41" i="7"/>
  <c r="S42" i="7" s="1"/>
  <c r="R45" i="7"/>
  <c r="Q45" i="7"/>
  <c r="R46" i="7" s="1"/>
  <c r="Q39" i="7"/>
  <c r="R40" i="7" s="1"/>
  <c r="Q56" i="7"/>
  <c r="O41" i="7"/>
  <c r="AH42" i="7" s="1"/>
  <c r="O41" i="6"/>
  <c r="R43" i="6"/>
  <c r="Q43" i="6"/>
  <c r="R44" i="6" s="1"/>
  <c r="Q41" i="6"/>
  <c r="R42" i="6" s="1"/>
  <c r="R41" i="6"/>
  <c r="Q44" i="6"/>
  <c r="CA14" i="4"/>
  <c r="BZ15" i="4" s="1"/>
  <c r="BY16" i="4" s="1"/>
  <c r="BE15" i="4"/>
  <c r="CA16" i="4" s="1"/>
  <c r="BZ14" i="4"/>
  <c r="BY15" i="4" s="1"/>
  <c r="BX16" i="4" s="1"/>
  <c r="BD10" i="3"/>
  <c r="BT11" i="3" s="1"/>
  <c r="BS12" i="3" s="1"/>
  <c r="BR13" i="3" s="1"/>
  <c r="Y11" i="3"/>
  <c r="X12" i="3" s="1"/>
  <c r="W13" i="3" s="1"/>
  <c r="W14" i="3" s="1"/>
  <c r="V15" i="3" s="1"/>
  <c r="U16" i="3" s="1"/>
  <c r="T17" i="3" s="1"/>
  <c r="T18" i="3" s="1"/>
  <c r="S19" i="3" s="1"/>
  <c r="BD11" i="3"/>
  <c r="BT12" i="3" s="1"/>
  <c r="BS13" i="3" s="1"/>
  <c r="Y12" i="3"/>
  <c r="X13" i="3" s="1"/>
  <c r="X14" i="3" s="1"/>
  <c r="W15" i="3" s="1"/>
  <c r="V16" i="3" s="1"/>
  <c r="U17" i="3" s="1"/>
  <c r="U18" i="3" s="1"/>
  <c r="T19" i="3" s="1"/>
  <c r="S20" i="3" s="1"/>
  <c r="Y20" i="3"/>
  <c r="X20" i="3"/>
  <c r="W21" i="3" s="1"/>
  <c r="V22" i="3" s="1"/>
  <c r="AJ11" i="2"/>
  <c r="AI12" i="2" s="1"/>
  <c r="AH13" i="2" s="1"/>
  <c r="AH14" i="2" s="1"/>
  <c r="AG15" i="2" s="1"/>
  <c r="AF16" i="2" s="1"/>
  <c r="AE17" i="2" s="1"/>
  <c r="AE18" i="2" s="1"/>
  <c r="AD19" i="2" s="1"/>
  <c r="BD10" i="2"/>
  <c r="BT11" i="2" s="1"/>
  <c r="BS12" i="2" s="1"/>
  <c r="BR13" i="2" s="1"/>
  <c r="AJ12" i="2"/>
  <c r="AI13" i="2" s="1"/>
  <c r="AI14" i="2" s="1"/>
  <c r="AH15" i="2" s="1"/>
  <c r="AG16" i="2" s="1"/>
  <c r="AF17" i="2" s="1"/>
  <c r="AF18" i="2" s="1"/>
  <c r="BD11" i="2"/>
  <c r="BT12" i="2" s="1"/>
  <c r="BS13" i="2" s="1"/>
  <c r="AJ13" i="2"/>
  <c r="AJ14" i="2" s="1"/>
  <c r="AI15" i="2" s="1"/>
  <c r="AH16" i="2" s="1"/>
  <c r="AG17" i="2" s="1"/>
  <c r="AG18" i="2" s="1"/>
  <c r="AF19" i="2" s="1"/>
  <c r="AE20" i="2" s="1"/>
  <c r="AD21" i="2" s="1"/>
  <c r="BD12" i="2"/>
  <c r="BT13" i="2" s="1"/>
  <c r="AJ19" i="2"/>
  <c r="AI19" i="2"/>
  <c r="AH20" i="2" s="1"/>
  <c r="AG21" i="2" s="1"/>
  <c r="AF22" i="2" s="1"/>
  <c r="T15" i="1"/>
  <c r="S16" i="1" s="1"/>
  <c r="R17" i="1" s="1"/>
  <c r="R18" i="1" s="1"/>
  <c r="X39" i="11" l="1"/>
  <c r="Y40" i="11" s="1"/>
  <c r="Z45" i="10"/>
  <c r="AB46" i="10" s="1"/>
  <c r="AA46" i="10"/>
  <c r="AK37" i="10"/>
  <c r="AJ38" i="10" s="1"/>
  <c r="AI39" i="10" s="1"/>
  <c r="X40" i="10"/>
  <c r="AA44" i="10"/>
  <c r="X38" i="10"/>
  <c r="AO37" i="10"/>
  <c r="AN38" i="10" s="1"/>
  <c r="AN39" i="10" s="1"/>
  <c r="AN40" i="10" s="1"/>
  <c r="AM41" i="10" s="1"/>
  <c r="AL42" i="10" s="1"/>
  <c r="Z42" i="10"/>
  <c r="AB43" i="10" s="1"/>
  <c r="AC43" i="10" s="1"/>
  <c r="AD44" i="10" s="1"/>
  <c r="X42" i="10"/>
  <c r="AA42" i="10"/>
  <c r="Z44" i="10"/>
  <c r="AB45" i="10" s="1"/>
  <c r="AC45" i="10" s="1"/>
  <c r="K46" i="11"/>
  <c r="C47" i="11"/>
  <c r="Y43" i="11"/>
  <c r="X43" i="11"/>
  <c r="Y44" i="11" s="1"/>
  <c r="Y41" i="11"/>
  <c r="X41" i="11"/>
  <c r="Y42" i="11" s="1"/>
  <c r="K46" i="10"/>
  <c r="C47" i="10"/>
  <c r="C46" i="9"/>
  <c r="K45" i="9"/>
  <c r="X45" i="9"/>
  <c r="W45" i="9"/>
  <c r="X46" i="9" s="1"/>
  <c r="R43" i="7"/>
  <c r="S46" i="7"/>
  <c r="U47" i="7" s="1"/>
  <c r="V47" i="7" s="1"/>
  <c r="U42" i="7"/>
  <c r="U43" i="7"/>
  <c r="V43" i="7" s="1"/>
  <c r="U46" i="7"/>
  <c r="U41" i="7"/>
  <c r="V41" i="7" s="1"/>
  <c r="W42" i="7" s="1"/>
  <c r="U40" i="7"/>
  <c r="Q41" i="7"/>
  <c r="R42" i="7" s="1"/>
  <c r="R41" i="7"/>
  <c r="U45" i="7"/>
  <c r="V45" i="7" s="1"/>
  <c r="U44" i="7"/>
  <c r="R45" i="6"/>
  <c r="Q45" i="6"/>
  <c r="R46" i="6" s="1"/>
  <c r="Y21" i="3"/>
  <c r="X21" i="3"/>
  <c r="W22" i="3" s="1"/>
  <c r="AE19" i="2"/>
  <c r="AD20" i="2" s="1"/>
  <c r="AJ20" i="2"/>
  <c r="AI20" i="2"/>
  <c r="AH21" i="2" s="1"/>
  <c r="AG22" i="2" s="1"/>
  <c r="Q19" i="1"/>
  <c r="Z46" i="10" l="1"/>
  <c r="AB47" i="10" s="1"/>
  <c r="AC47" i="10" s="1"/>
  <c r="X41" i="10"/>
  <c r="Y42" i="10" s="1"/>
  <c r="Y41" i="10"/>
  <c r="X43" i="10"/>
  <c r="Y44" i="10" s="1"/>
  <c r="Y43" i="10"/>
  <c r="X39" i="10"/>
  <c r="Y40" i="10" s="1"/>
  <c r="Y39" i="10"/>
  <c r="AD46" i="10"/>
  <c r="AD48" i="10" s="1"/>
  <c r="C47" i="9"/>
  <c r="K46" i="9"/>
  <c r="W44" i="7"/>
  <c r="X22" i="3"/>
  <c r="Y22" i="3"/>
  <c r="AI21" i="2"/>
  <c r="AH22" i="2" s="1"/>
  <c r="AJ21" i="2"/>
  <c r="P20" i="1"/>
  <c r="O21" i="1" s="1"/>
  <c r="W46" i="7" l="1"/>
  <c r="W48" i="7" s="1"/>
  <c r="AJ22" i="2"/>
  <c r="AI22" i="2"/>
</calcChain>
</file>

<file path=xl/sharedStrings.xml><?xml version="1.0" encoding="utf-8"?>
<sst xmlns="http://schemas.openxmlformats.org/spreadsheetml/2006/main" count="1423" uniqueCount="164">
  <si>
    <t xml:space="preserve"> </t>
    <phoneticPr fontId="1" type="noConversion"/>
  </si>
  <si>
    <t xml:space="preserve"> cnt</t>
    <phoneticPr fontId="1" type="noConversion"/>
  </si>
  <si>
    <t>IN_DATA</t>
    <phoneticPr fontId="1" type="noConversion"/>
  </si>
  <si>
    <t>out_code_reg[0]</t>
    <phoneticPr fontId="1" type="noConversion"/>
  </si>
  <si>
    <t>out_code_reg[2]</t>
    <phoneticPr fontId="1" type="noConversion"/>
  </si>
  <si>
    <t>out_code_reg[3]</t>
    <phoneticPr fontId="1" type="noConversion"/>
  </si>
  <si>
    <t>out_code_reg[4]</t>
    <phoneticPr fontId="1" type="noConversion"/>
  </si>
  <si>
    <t>out_code_reg[5]</t>
    <phoneticPr fontId="1" type="noConversion"/>
  </si>
  <si>
    <t>out_code_reg[6]</t>
    <phoneticPr fontId="1" type="noConversion"/>
  </si>
  <si>
    <t>out_code_reg[7]</t>
    <phoneticPr fontId="1" type="noConversion"/>
  </si>
  <si>
    <t>X</t>
    <phoneticPr fontId="1" type="noConversion"/>
  </si>
  <si>
    <t>out_code_reg[1]</t>
    <phoneticPr fontId="1" type="noConversion"/>
  </si>
  <si>
    <t>det22_c</t>
    <phoneticPr fontId="1" type="noConversion"/>
  </si>
  <si>
    <t>mod2</t>
    <phoneticPr fontId="1" type="noConversion"/>
  </si>
  <si>
    <t>det22_reg [4]</t>
  </si>
  <si>
    <t>det22_reg [0]</t>
    <phoneticPr fontId="1" type="noConversion"/>
  </si>
  <si>
    <t>det22_reg [2]</t>
    <phoneticPr fontId="1" type="noConversion"/>
  </si>
  <si>
    <t>det22_reg [3]</t>
    <phoneticPr fontId="1" type="noConversion"/>
  </si>
  <si>
    <t>det22_reg [5]</t>
  </si>
  <si>
    <t>det22_reg [6]</t>
  </si>
  <si>
    <t>det22_reg [7]</t>
  </si>
  <si>
    <t>det22_reg [8]</t>
  </si>
  <si>
    <t>mod3</t>
    <phoneticPr fontId="1" type="noConversion"/>
  </si>
  <si>
    <t>剩下</t>
    <phoneticPr fontId="1" type="noConversion"/>
  </si>
  <si>
    <t>9~16</t>
    <phoneticPr fontId="1" type="noConversion"/>
  </si>
  <si>
    <t>8~15</t>
    <phoneticPr fontId="1" type="noConversion"/>
  </si>
  <si>
    <t>7~14</t>
    <phoneticPr fontId="1" type="noConversion"/>
  </si>
  <si>
    <t>6~13</t>
    <phoneticPr fontId="1" type="noConversion"/>
  </si>
  <si>
    <t>5~12</t>
    <phoneticPr fontId="1" type="noConversion"/>
  </si>
  <si>
    <t>4~11</t>
    <phoneticPr fontId="1" type="noConversion"/>
  </si>
  <si>
    <t>3~10</t>
    <phoneticPr fontId="1" type="noConversion"/>
  </si>
  <si>
    <t>2~9</t>
    <phoneticPr fontId="1" type="noConversion"/>
  </si>
  <si>
    <t>1~8</t>
    <phoneticPr fontId="1" type="noConversion"/>
  </si>
  <si>
    <t>det22_reg [8]</t>
    <phoneticPr fontId="1" type="noConversion"/>
  </si>
  <si>
    <t>det22_reg [9]</t>
    <phoneticPr fontId="1" type="noConversion"/>
  </si>
  <si>
    <t>act</t>
    <phoneticPr fontId="1" type="noConversion"/>
  </si>
  <si>
    <t>act_comb</t>
    <phoneticPr fontId="1" type="noConversion"/>
  </si>
  <si>
    <t>9(2367)-10(1357)</t>
    <phoneticPr fontId="1" type="noConversion"/>
  </si>
  <si>
    <t>10(3478)-11(2468)</t>
    <phoneticPr fontId="1" type="noConversion"/>
  </si>
  <si>
    <t>B1temp = 9(2367)-10(1357)</t>
    <phoneticPr fontId="1" type="noConversion"/>
  </si>
  <si>
    <t>11(1256)+B1_temp</t>
    <phoneticPr fontId="1" type="noConversion"/>
  </si>
  <si>
    <t>12(2367)+B2_temp</t>
    <phoneticPr fontId="1" type="noConversion"/>
  </si>
  <si>
    <t>B2_temp = 10(3478)-11(2468)</t>
    <phoneticPr fontId="1" type="noConversion"/>
  </si>
  <si>
    <t>B3_temp = 13*(671011)-14(57911)</t>
    <phoneticPr fontId="1" type="noConversion"/>
  </si>
  <si>
    <t>B4_temp = 14*(781112)-15(681012)</t>
    <phoneticPr fontId="1" type="noConversion"/>
  </si>
  <si>
    <t xml:space="preserve">16(671011)+B4_temp </t>
    <phoneticPr fontId="1" type="noConversion"/>
  </si>
  <si>
    <t>15(56910)+B3_temp</t>
    <phoneticPr fontId="1" type="noConversion"/>
  </si>
  <si>
    <t>11*11-11*21</t>
    <phoneticPr fontId="1" type="noConversion"/>
  </si>
  <si>
    <t>11*11-11*21+11*21</t>
    <phoneticPr fontId="1" type="noConversion"/>
  </si>
  <si>
    <t>mod4</t>
    <phoneticPr fontId="1" type="noConversion"/>
  </si>
  <si>
    <t>9(2468)-10(1458)</t>
    <phoneticPr fontId="1" type="noConversion"/>
  </si>
  <si>
    <t>9(3478)-11(1458)</t>
    <phoneticPr fontId="1" type="noConversion"/>
  </si>
  <si>
    <t>12(2367)</t>
    <phoneticPr fontId="1" type="noConversion"/>
  </si>
  <si>
    <t>12(1357)</t>
    <phoneticPr fontId="1" type="noConversion"/>
  </si>
  <si>
    <t>12(1256)</t>
    <phoneticPr fontId="1" type="noConversion"/>
  </si>
  <si>
    <t>11(1256)</t>
    <phoneticPr fontId="1" type="noConversion"/>
  </si>
  <si>
    <t>reg_</t>
    <phoneticPr fontId="1" type="noConversion"/>
  </si>
  <si>
    <t>+11(1256)</t>
    <phoneticPr fontId="1" type="noConversion"/>
  </si>
  <si>
    <t>+12(1256)</t>
    <phoneticPr fontId="1" type="noConversion"/>
  </si>
  <si>
    <t>12(1357)+'</t>
    <phoneticPr fontId="1" type="noConversion"/>
  </si>
  <si>
    <t>+12(2367)</t>
    <phoneticPr fontId="1" type="noConversion"/>
  </si>
  <si>
    <t>r_end</t>
    <phoneticPr fontId="1" type="noConversion"/>
  </si>
  <si>
    <t>g_end</t>
    <phoneticPr fontId="1" type="noConversion"/>
  </si>
  <si>
    <t>o_end</t>
    <phoneticPr fontId="1" type="noConversion"/>
  </si>
  <si>
    <t>b_end</t>
    <phoneticPr fontId="1" type="noConversion"/>
  </si>
  <si>
    <t>o+r</t>
    <phoneticPr fontId="1" type="noConversion"/>
  </si>
  <si>
    <t>o+r+g</t>
    <phoneticPr fontId="1" type="noConversion"/>
  </si>
  <si>
    <t>all</t>
    <phoneticPr fontId="1" type="noConversion"/>
  </si>
  <si>
    <t>mult_comb</t>
    <phoneticPr fontId="1" type="noConversion"/>
  </si>
  <si>
    <t>reg(49)</t>
    <phoneticPr fontId="1" type="noConversion"/>
  </si>
  <si>
    <t>!!!擴充到2007</t>
    <phoneticPr fontId="1" type="noConversion"/>
  </si>
  <si>
    <t>51bits?</t>
    <phoneticPr fontId="1" type="noConversion"/>
  </si>
  <si>
    <t>out_data_bkg_reg [68:46  ]</t>
  </si>
  <si>
    <t>out_data_bkg_reg [91:69  ]</t>
  </si>
  <si>
    <t>out_data_bkg_reg [183:161]</t>
  </si>
  <si>
    <t>out_data_bkg_reg [206:184]</t>
  </si>
  <si>
    <t>out_data_bkg_reg [114:92 ]</t>
    <phoneticPr fontId="1" type="noConversion"/>
  </si>
  <si>
    <t>out_data_bkg_reg [22:0   ]</t>
    <phoneticPr fontId="1" type="noConversion"/>
  </si>
  <si>
    <t>out_data_bkg_reg [137:115]</t>
    <phoneticPr fontId="1" type="noConversion"/>
  </si>
  <si>
    <t>out_data_bkg_reg [45:23  ]</t>
    <phoneticPr fontId="1" type="noConversion"/>
  </si>
  <si>
    <t>B22_Temp_reg</t>
  </si>
  <si>
    <t>o_end(*16)</t>
    <phoneticPr fontId="1" type="noConversion"/>
  </si>
  <si>
    <t>r_end(*15)</t>
    <phoneticPr fontId="1" type="noConversion"/>
  </si>
  <si>
    <t>g_end(*14)</t>
    <phoneticPr fontId="1" type="noConversion"/>
  </si>
  <si>
    <t>b_end(*13)</t>
    <phoneticPr fontId="1" type="noConversion"/>
  </si>
  <si>
    <t>-10*(1357)</t>
    <phoneticPr fontId="1" type="noConversion"/>
  </si>
  <si>
    <t>9(2367)+11(1256)</t>
    <phoneticPr fontId="1" type="noConversion"/>
  </si>
  <si>
    <t>9(2468)+12(1256)</t>
    <phoneticPr fontId="1" type="noConversion"/>
  </si>
  <si>
    <t>-10(1458)</t>
    <phoneticPr fontId="1" type="noConversion"/>
  </si>
  <si>
    <t>9(3478)+12(1357)</t>
    <phoneticPr fontId="1" type="noConversion"/>
  </si>
  <si>
    <t>-11(1458)</t>
    <phoneticPr fontId="1" type="noConversion"/>
  </si>
  <si>
    <t>10(3478)+12(2367)</t>
    <phoneticPr fontId="1" type="noConversion"/>
  </si>
  <si>
    <t>-11(2468)</t>
  </si>
  <si>
    <t>out_data_bkg_reg [183:161]</t>
    <phoneticPr fontId="1" type="noConversion"/>
  </si>
  <si>
    <t>9(2367)-10*(1357)</t>
    <phoneticPr fontId="1" type="noConversion"/>
  </si>
  <si>
    <t>+12(1357)</t>
    <phoneticPr fontId="1" type="noConversion"/>
  </si>
  <si>
    <t>out_data_bkg_reg [160:138]</t>
    <phoneticPr fontId="1" type="noConversion"/>
  </si>
  <si>
    <t>B1_temp+11(1256)</t>
    <phoneticPr fontId="1" type="noConversion"/>
  </si>
  <si>
    <t>B2_temp+12(2367)</t>
    <phoneticPr fontId="1" type="noConversion"/>
  </si>
  <si>
    <t>B3_temp+15(56910)</t>
    <phoneticPr fontId="1" type="noConversion"/>
  </si>
  <si>
    <t>B4_temp = 14*(781112) -15(681012)</t>
    <phoneticPr fontId="1" type="noConversion"/>
  </si>
  <si>
    <t>B4_temp+16(671011)</t>
    <phoneticPr fontId="1" type="noConversion"/>
  </si>
  <si>
    <t>out_data_bkg_reg [91:69  ]</t>
    <phoneticPr fontId="1" type="noConversion"/>
  </si>
  <si>
    <t>o_end 16</t>
    <phoneticPr fontId="1" type="noConversion"/>
  </si>
  <si>
    <t>r_end 15</t>
    <phoneticPr fontId="1" type="noConversion"/>
  </si>
  <si>
    <t>g_end 14</t>
    <phoneticPr fontId="1" type="noConversion"/>
  </si>
  <si>
    <t>b_end 13</t>
    <phoneticPr fontId="1" type="noConversion"/>
  </si>
  <si>
    <t>det2*2</t>
    <phoneticPr fontId="1" type="noConversion"/>
  </si>
  <si>
    <t>det3*3</t>
    <phoneticPr fontId="1" type="noConversion"/>
  </si>
  <si>
    <t>det4*4</t>
    <phoneticPr fontId="1" type="noConversion"/>
  </si>
  <si>
    <t>-</t>
    <phoneticPr fontId="1" type="noConversion"/>
  </si>
  <si>
    <t>+</t>
    <phoneticPr fontId="1" type="noConversion"/>
  </si>
  <si>
    <t>L</t>
    <phoneticPr fontId="1" type="noConversion"/>
  </si>
  <si>
    <t>v1</t>
    <phoneticPr fontId="1" type="noConversion"/>
  </si>
  <si>
    <t>area</t>
    <phoneticPr fontId="1" type="noConversion"/>
  </si>
  <si>
    <t xml:space="preserve">cycle time </t>
    <phoneticPr fontId="1" type="noConversion"/>
  </si>
  <si>
    <t>total latency</t>
    <phoneticPr fontId="1" type="noConversion"/>
  </si>
  <si>
    <t>pat_num</t>
    <phoneticPr fontId="1" type="noConversion"/>
  </si>
  <si>
    <t>Per</t>
    <phoneticPr fontId="1" type="noConversion"/>
  </si>
  <si>
    <t>avg latency</t>
    <phoneticPr fontId="1" type="noConversion"/>
  </si>
  <si>
    <t>PLUSA</t>
    <phoneticPr fontId="1" type="noConversion"/>
  </si>
  <si>
    <t>CR_code_reg[0]</t>
    <phoneticPr fontId="1" type="noConversion"/>
  </si>
  <si>
    <t>CR_code_reg[1]</t>
    <phoneticPr fontId="1" type="noConversion"/>
  </si>
  <si>
    <t>CR_code_reg[2]</t>
    <phoneticPr fontId="1" type="noConversion"/>
  </si>
  <si>
    <t>CR_code_reg[3]</t>
    <phoneticPr fontId="1" type="noConversion"/>
  </si>
  <si>
    <t>CR_code_reg[4]</t>
  </si>
  <si>
    <t>CR_code_reg[5]</t>
  </si>
  <si>
    <t>CR_code_reg[6]</t>
  </si>
  <si>
    <t>CR_code_reg[7]</t>
  </si>
  <si>
    <t>PLUSB</t>
    <phoneticPr fontId="1" type="noConversion"/>
  </si>
  <si>
    <t>v2</t>
    <phoneticPr fontId="1" type="noConversion"/>
  </si>
  <si>
    <t>PLUSC</t>
    <phoneticPr fontId="1" type="noConversion"/>
  </si>
  <si>
    <t>det22_reg [2]</t>
  </si>
  <si>
    <t>det22_reg [0]</t>
  </si>
  <si>
    <t>det22_reg [1]</t>
  </si>
  <si>
    <t>det22_reg [1]</t>
    <phoneticPr fontId="1" type="noConversion"/>
  </si>
  <si>
    <t>det22_reg [3]</t>
  </si>
  <si>
    <t>剩下</t>
  </si>
  <si>
    <t>out_data_bkg_reg [160:138]</t>
  </si>
  <si>
    <t>out_data_bkg_reg [137:115]</t>
  </si>
  <si>
    <t>out_data_bkg_reg [114:92 ]</t>
  </si>
  <si>
    <t>out_data_bkg_reg [45:23  ]</t>
  </si>
  <si>
    <t>out_data_bkg_reg [22:0   ]</t>
  </si>
  <si>
    <t>*14</t>
    <phoneticPr fontId="1" type="noConversion"/>
  </si>
  <si>
    <t>*15</t>
    <phoneticPr fontId="1" type="noConversion"/>
  </si>
  <si>
    <t>*16</t>
    <phoneticPr fontId="1" type="noConversion"/>
  </si>
  <si>
    <t>*13</t>
    <phoneticPr fontId="1" type="noConversion"/>
  </si>
  <si>
    <t>cnt</t>
    <phoneticPr fontId="1" type="noConversion"/>
  </si>
  <si>
    <t>comb</t>
    <phoneticPr fontId="1" type="noConversion"/>
  </si>
  <si>
    <t>reg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</si>
  <si>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</si>
  <si>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</si>
  <si>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</si>
  <si>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</si>
  <si>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12*(2367</t>
    <phoneticPr fontId="1" type="noConversion"/>
  </si>
  <si>
    <t>10(3478)-11*(2468)</t>
    <phoneticPr fontId="1" type="noConversion"/>
  </si>
  <si>
    <t>9(2468)-10(1458)</t>
  </si>
  <si>
    <t>12(1256)</t>
  </si>
  <si>
    <t xml:space="preserve">12*(2367) </t>
    <phoneticPr fontId="1" type="noConversion"/>
  </si>
  <si>
    <t>13A</t>
    <phoneticPr fontId="1" type="noConversion"/>
  </si>
  <si>
    <t>13A+14B</t>
    <phoneticPr fontId="1" type="noConversion"/>
  </si>
  <si>
    <t>13A+14B+15C</t>
    <phoneticPr fontId="1" type="noConversion"/>
  </si>
  <si>
    <t>13A+14B+15C+16D</t>
    <phoneticPr fontId="1" type="noConversion"/>
  </si>
  <si>
    <t>v2.2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</si>
</sst>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  <font>
      <sz val="12"/>
      <color rgb="FF1E1E1E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76" fontId="0" fillId="0" borderId="0" xfId="0" applyNumberFormat="1"/>
    <xf numFmtId="0" fontId="0" fillId="7" borderId="0" xfId="0" applyFill="1"/>
    <xf numFmtId="0" fontId="0" fillId="8" borderId="0" xfId="0" applyFill="1"/>
    <xf numFmtId="0" fontId="2" fillId="7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6" borderId="0" xfId="0" quotePrefix="1" applyFill="1"/>
    <xf numFmtId="0" fontId="0" fillId="11" borderId="0" xfId="0" quotePrefix="1" applyFill="1"/>
    <xf numFmtId="0" fontId="0" fillId="4" borderId="0" xfId="0" quotePrefix="1" applyFill="1"/>
    <xf numFmtId="176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4" borderId="0" xfId="0" quotePrefix="1" applyFill="1" applyAlignment="1">
      <alignment horizontal="center"/>
    </xf>
    <xf numFmtId="0" fontId="0" fillId="9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0" xfId="0" quotePrefix="1" applyFill="1" applyAlignment="1">
      <alignment horizontal="center"/>
    </xf>
    <xf numFmtId="0" fontId="0" fillId="11" borderId="0" xfId="0" quotePrefix="1" applyFill="1" applyAlignment="1">
      <alignment horizontal="center"/>
    </xf>
    <xf numFmtId="0" fontId="0" fillId="0" borderId="4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0" xfId="0" quotePrefix="1" applyFill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4" xfId="0" quotePrefix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quotePrefix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1" borderId="4" xfId="0" quotePrefix="1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6" borderId="0" xfId="0" applyFont="1" applyFill="1"/>
    <xf numFmtId="0" fontId="0" fillId="0" borderId="0" xfId="0" quotePrefix="1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10" xfId="0" applyFill="1" applyBorder="1"/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3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13" borderId="0" xfId="0" applyFill="1" applyBorder="1" applyAlignment="1">
      <alignment horizontal="center"/>
    </xf>
    <xf numFmtId="0" fontId="0" fillId="8" borderId="0" xfId="0" applyFill="1" applyBorder="1"/>
    <xf numFmtId="176" fontId="0" fillId="0" borderId="0" xfId="0" applyNumberForma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0" fillId="11" borderId="0" xfId="0" applyFill="1" applyBorder="1"/>
    <xf numFmtId="0" fontId="0" fillId="3" borderId="0" xfId="0" applyFill="1" applyBorder="1"/>
    <xf numFmtId="0" fontId="0" fillId="5" borderId="0" xfId="0" applyFill="1" applyBorder="1"/>
    <xf numFmtId="0" fontId="0" fillId="15" borderId="0" xfId="0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353785</xdr:colOff>
      <xdr:row>44</xdr:row>
      <xdr:rowOff>122465</xdr:rowOff>
    </xdr:from>
    <xdr:to>
      <xdr:col>35</xdr:col>
      <xdr:colOff>252594</xdr:colOff>
      <xdr:row>63</xdr:row>
      <xdr:rowOff>114848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E04A367-B441-56BA-4BCD-1B22F7A48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04928" y="9103179"/>
          <a:ext cx="15928023" cy="392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9"/>
  <sheetViews>
    <sheetView zoomScale="85" zoomScaleNormal="85" workbookViewId="0">
      <selection activeCell="B21" sqref="A21:XFD21"/>
    </sheetView>
  </sheetViews>
  <sheetFormatPr defaultRowHeight="15.75" x14ac:dyDescent="0.25"/>
  <cols>
    <col min="1" max="1" width="4.7109375" bestFit="1" customWidth="1"/>
    <col min="2" max="2" width="10.42578125" bestFit="1" customWidth="1"/>
    <col min="3" max="3" width="15.5703125" style="10" bestFit="1" customWidth="1"/>
    <col min="4" max="4" width="15.5703125" style="8" bestFit="1" customWidth="1"/>
    <col min="5" max="5" width="15.5703125" style="6" bestFit="1" customWidth="1"/>
    <col min="6" max="6" width="15.5703125" style="2" bestFit="1" customWidth="1"/>
    <col min="7" max="7" width="15.5703125" style="10" bestFit="1" customWidth="1"/>
    <col min="8" max="8" width="15.5703125" style="7" bestFit="1" customWidth="1"/>
    <col min="9" max="9" width="15.5703125" style="6" bestFit="1" customWidth="1"/>
    <col min="10" max="10" width="15.5703125" style="2" bestFit="1" customWidth="1"/>
    <col min="11" max="11" width="15.5703125" style="10" bestFit="1" customWidth="1"/>
    <col min="12" max="12" width="9.140625" style="6"/>
    <col min="13" max="13" width="9.140625" style="2"/>
    <col min="15" max="24" width="13" bestFit="1" customWidth="1"/>
    <col min="25" max="25" width="11.5703125" style="10" bestFit="1" customWidth="1"/>
    <col min="26" max="26" width="9.140625" style="6"/>
    <col min="27" max="27" width="7.42578125" style="2" bestFit="1" customWidth="1"/>
    <col min="29" max="38" width="13" bestFit="1" customWidth="1"/>
    <col min="39" max="39" width="9.5703125" bestFit="1" customWidth="1"/>
  </cols>
  <sheetData>
    <row r="1" spans="1:39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N1" t="s">
        <v>13</v>
      </c>
      <c r="O1" t="s">
        <v>15</v>
      </c>
      <c r="P1" t="str">
        <f>LEFT(O1, LEN(O1)-2) &amp; "1]"</f>
        <v>det22_reg [1]</v>
      </c>
      <c r="Q1" t="s">
        <v>16</v>
      </c>
      <c r="R1" t="s">
        <v>17</v>
      </c>
      <c r="S1" t="s">
        <v>14</v>
      </c>
      <c r="T1" t="s">
        <v>18</v>
      </c>
      <c r="U1" t="s">
        <v>19</v>
      </c>
      <c r="V1" t="s">
        <v>20</v>
      </c>
      <c r="W1" t="s">
        <v>21</v>
      </c>
      <c r="Y1" s="9" t="str">
        <f>K1</f>
        <v>det22_c</v>
      </c>
      <c r="Z1" s="5">
        <f t="shared" ref="Z1:AA1" si="0">L1</f>
        <v>0</v>
      </c>
      <c r="AA1" s="4">
        <f t="shared" si="0"/>
        <v>0</v>
      </c>
      <c r="AB1" t="s">
        <v>22</v>
      </c>
      <c r="AC1" t="s">
        <v>15</v>
      </c>
      <c r="AD1" t="str">
        <f>LEFT(AC1, LEN(AC1)-2) &amp; "1]"</f>
        <v>det22_reg [1]</v>
      </c>
      <c r="AE1" t="s">
        <v>16</v>
      </c>
      <c r="AF1" t="s">
        <v>17</v>
      </c>
      <c r="AG1" t="s">
        <v>14</v>
      </c>
      <c r="AH1" t="s">
        <v>18</v>
      </c>
      <c r="AI1" t="s">
        <v>19</v>
      </c>
      <c r="AJ1" t="s">
        <v>20</v>
      </c>
      <c r="AK1" t="s">
        <v>33</v>
      </c>
      <c r="AL1" t="s">
        <v>34</v>
      </c>
      <c r="AM1" t="s">
        <v>23</v>
      </c>
    </row>
    <row r="2" spans="1:39" x14ac:dyDescent="0.25">
      <c r="A2" s="3">
        <v>0</v>
      </c>
      <c r="B2" s="3"/>
      <c r="C2" s="9"/>
      <c r="D2" s="7"/>
      <c r="E2" s="5"/>
      <c r="F2" s="4"/>
      <c r="G2" s="9"/>
      <c r="I2" s="5"/>
      <c r="J2" s="4"/>
      <c r="K2" s="9"/>
      <c r="Y2" s="9">
        <f t="shared" ref="Y2:Y51" si="1">K2</f>
        <v>0</v>
      </c>
      <c r="Z2" s="5">
        <f t="shared" ref="Z2:Z51" si="2">L2</f>
        <v>0</v>
      </c>
      <c r="AA2" s="4">
        <f t="shared" ref="AA2:AA51" si="3">M2</f>
        <v>0</v>
      </c>
    </row>
    <row r="3" spans="1:39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Y3" s="9">
        <f t="shared" si="1"/>
        <v>0</v>
      </c>
      <c r="Z3" s="5">
        <f t="shared" si="2"/>
        <v>0</v>
      </c>
      <c r="AA3" s="4">
        <f t="shared" si="3"/>
        <v>0</v>
      </c>
    </row>
    <row r="4" spans="1:39" x14ac:dyDescent="0.25">
      <c r="A4" s="3">
        <v>2</v>
      </c>
      <c r="B4" s="3">
        <v>2</v>
      </c>
      <c r="C4" s="9" t="str">
        <f t="shared" ref="C4:I19" si="4">D3</f>
        <v>X</v>
      </c>
      <c r="D4" s="7" t="str">
        <f t="shared" si="4"/>
        <v>X</v>
      </c>
      <c r="E4" s="5" t="str">
        <f t="shared" si="4"/>
        <v>X</v>
      </c>
      <c r="F4" s="4" t="str">
        <f t="shared" si="4"/>
        <v>X</v>
      </c>
      <c r="G4" s="9" t="str">
        <f t="shared" si="4"/>
        <v>X</v>
      </c>
      <c r="H4" s="7" t="str">
        <f t="shared" si="4"/>
        <v>X</v>
      </c>
      <c r="I4" s="5">
        <f>J3</f>
        <v>1</v>
      </c>
      <c r="J4" s="4">
        <v>2</v>
      </c>
      <c r="K4" s="9"/>
      <c r="Y4" s="9">
        <f t="shared" si="1"/>
        <v>0</v>
      </c>
      <c r="Z4" s="5">
        <f t="shared" si="2"/>
        <v>0</v>
      </c>
      <c r="AA4" s="4">
        <f t="shared" si="3"/>
        <v>0</v>
      </c>
    </row>
    <row r="5" spans="1:39" x14ac:dyDescent="0.25">
      <c r="A5" s="3">
        <v>3</v>
      </c>
      <c r="B5" s="3">
        <v>3</v>
      </c>
      <c r="C5" s="9" t="str">
        <f t="shared" si="4"/>
        <v>X</v>
      </c>
      <c r="D5" s="7" t="str">
        <f t="shared" si="4"/>
        <v>X</v>
      </c>
      <c r="E5" s="5" t="str">
        <f t="shared" si="4"/>
        <v>X</v>
      </c>
      <c r="F5" s="4" t="str">
        <f t="shared" si="4"/>
        <v>X</v>
      </c>
      <c r="G5" s="9" t="str">
        <f t="shared" si="4"/>
        <v>X</v>
      </c>
      <c r="H5" s="7">
        <f t="shared" si="4"/>
        <v>1</v>
      </c>
      <c r="I5" s="5">
        <f t="shared" si="4"/>
        <v>2</v>
      </c>
      <c r="J5" s="4">
        <v>3</v>
      </c>
      <c r="K5" s="9"/>
      <c r="Y5" s="9">
        <f t="shared" si="1"/>
        <v>0</v>
      </c>
      <c r="Z5" s="5">
        <f t="shared" si="2"/>
        <v>0</v>
      </c>
      <c r="AA5" s="4">
        <f t="shared" si="3"/>
        <v>0</v>
      </c>
    </row>
    <row r="6" spans="1:39" x14ac:dyDescent="0.25">
      <c r="A6" s="3">
        <v>4</v>
      </c>
      <c r="B6" s="3">
        <v>4</v>
      </c>
      <c r="C6" s="9" t="str">
        <f t="shared" si="4"/>
        <v>X</v>
      </c>
      <c r="D6" s="7" t="str">
        <f t="shared" si="4"/>
        <v>X</v>
      </c>
      <c r="E6" s="5" t="str">
        <f t="shared" si="4"/>
        <v>X</v>
      </c>
      <c r="F6" s="4" t="str">
        <f t="shared" si="4"/>
        <v>X</v>
      </c>
      <c r="G6" s="9">
        <f t="shared" si="4"/>
        <v>1</v>
      </c>
      <c r="H6" s="7">
        <f t="shared" si="4"/>
        <v>2</v>
      </c>
      <c r="I6" s="5">
        <f t="shared" si="4"/>
        <v>3</v>
      </c>
      <c r="J6" s="4">
        <v>4</v>
      </c>
      <c r="K6" s="9"/>
      <c r="Y6" s="9">
        <f t="shared" si="1"/>
        <v>0</v>
      </c>
      <c r="Z6" s="5">
        <f t="shared" si="2"/>
        <v>0</v>
      </c>
      <c r="AA6" s="4">
        <f t="shared" si="3"/>
        <v>0</v>
      </c>
    </row>
    <row r="7" spans="1:39" x14ac:dyDescent="0.25">
      <c r="A7" s="3">
        <v>5</v>
      </c>
      <c r="B7" s="3">
        <v>5</v>
      </c>
      <c r="C7" s="9" t="str">
        <f t="shared" si="4"/>
        <v>X</v>
      </c>
      <c r="D7" s="7" t="str">
        <f t="shared" si="4"/>
        <v>X</v>
      </c>
      <c r="E7" s="5" t="str">
        <f t="shared" si="4"/>
        <v>X</v>
      </c>
      <c r="F7" s="4">
        <f t="shared" si="4"/>
        <v>1</v>
      </c>
      <c r="G7" s="9">
        <f t="shared" si="4"/>
        <v>2</v>
      </c>
      <c r="H7" s="7">
        <f t="shared" si="4"/>
        <v>3</v>
      </c>
      <c r="I7" s="5">
        <f t="shared" si="4"/>
        <v>4</v>
      </c>
      <c r="J7" s="4">
        <v>5</v>
      </c>
      <c r="K7" s="9"/>
      <c r="Y7" s="9">
        <f t="shared" si="1"/>
        <v>0</v>
      </c>
      <c r="Z7" s="5">
        <f t="shared" si="2"/>
        <v>0</v>
      </c>
      <c r="AA7" s="4">
        <f t="shared" si="3"/>
        <v>0</v>
      </c>
    </row>
    <row r="8" spans="1:39" x14ac:dyDescent="0.25">
      <c r="A8" s="3">
        <v>6</v>
      </c>
      <c r="B8" s="3">
        <v>6</v>
      </c>
      <c r="C8" s="9" t="str">
        <f t="shared" si="4"/>
        <v>X</v>
      </c>
      <c r="D8" s="7" t="str">
        <f t="shared" si="4"/>
        <v>X</v>
      </c>
      <c r="E8" s="5">
        <f t="shared" si="4"/>
        <v>1</v>
      </c>
      <c r="F8" s="4">
        <f t="shared" si="4"/>
        <v>2</v>
      </c>
      <c r="G8" s="9">
        <f t="shared" si="4"/>
        <v>3</v>
      </c>
      <c r="H8" s="7">
        <f t="shared" si="4"/>
        <v>4</v>
      </c>
      <c r="I8" s="5">
        <f t="shared" si="4"/>
        <v>5</v>
      </c>
      <c r="J8" s="4">
        <v>6</v>
      </c>
      <c r="K8" s="9"/>
      <c r="Y8" s="9">
        <f t="shared" si="1"/>
        <v>0</v>
      </c>
      <c r="Z8" s="5">
        <f t="shared" si="2"/>
        <v>0</v>
      </c>
      <c r="AA8" s="4">
        <f t="shared" si="3"/>
        <v>0</v>
      </c>
    </row>
    <row r="9" spans="1:39" ht="16.5" thickBot="1" x14ac:dyDescent="0.3">
      <c r="A9" s="3">
        <v>7</v>
      </c>
      <c r="B9" s="3">
        <v>7</v>
      </c>
      <c r="C9" s="9" t="str">
        <f t="shared" si="4"/>
        <v>X</v>
      </c>
      <c r="D9" s="7">
        <f t="shared" si="4"/>
        <v>1</v>
      </c>
      <c r="E9" s="5">
        <f t="shared" si="4"/>
        <v>2</v>
      </c>
      <c r="F9" s="4">
        <f t="shared" si="4"/>
        <v>3</v>
      </c>
      <c r="G9" s="9">
        <f t="shared" si="4"/>
        <v>4</v>
      </c>
      <c r="H9" s="7">
        <f t="shared" si="4"/>
        <v>5</v>
      </c>
      <c r="I9" s="5">
        <f t="shared" si="4"/>
        <v>6</v>
      </c>
      <c r="J9" s="4">
        <v>7</v>
      </c>
      <c r="K9" s="9"/>
      <c r="Y9" s="9">
        <f t="shared" si="1"/>
        <v>0</v>
      </c>
      <c r="Z9" s="5">
        <f t="shared" si="2"/>
        <v>0</v>
      </c>
      <c r="AA9" s="4">
        <f t="shared" si="3"/>
        <v>0</v>
      </c>
    </row>
    <row r="10" spans="1:39" ht="16.5" thickBot="1" x14ac:dyDescent="0.3">
      <c r="A10" s="3">
        <v>8</v>
      </c>
      <c r="B10" s="11">
        <v>8</v>
      </c>
      <c r="C10" s="12">
        <f t="shared" si="4"/>
        <v>1</v>
      </c>
      <c r="D10" s="13">
        <f t="shared" si="4"/>
        <v>2</v>
      </c>
      <c r="E10" s="14">
        <f t="shared" si="4"/>
        <v>3</v>
      </c>
      <c r="F10" s="15">
        <f t="shared" si="4"/>
        <v>4</v>
      </c>
      <c r="G10" s="12">
        <f t="shared" si="4"/>
        <v>5</v>
      </c>
      <c r="H10" s="13">
        <f t="shared" si="4"/>
        <v>6</v>
      </c>
      <c r="I10" s="14">
        <f t="shared" si="4"/>
        <v>7</v>
      </c>
      <c r="J10" s="16">
        <v>8</v>
      </c>
      <c r="K10" s="9" t="str">
        <f>C10 &amp; "," &amp; D10 &amp; CHAR(10) &amp; G10 &amp; "," &amp; H10</f>
        <v>1,2
5,6</v>
      </c>
      <c r="L10" s="6" t="str">
        <f>C10 &amp; "," &amp; E10 &amp; CHAR(10) &amp; G10 &amp; "," &amp; I10</f>
        <v>1,3
5,7</v>
      </c>
      <c r="M10" s="2" t="str">
        <f>C10 &amp; "," &amp; F10 &amp; CHAR(10) &amp; G10 &amp; "," &amp; J10</f>
        <v>1,4
5,8</v>
      </c>
      <c r="Y10" s="9" t="str">
        <f t="shared" si="1"/>
        <v>1,2
5,6</v>
      </c>
      <c r="Z10" s="5" t="str">
        <f t="shared" si="2"/>
        <v>1,3
5,7</v>
      </c>
      <c r="AA10" s="4" t="str">
        <f t="shared" si="3"/>
        <v>1,4
5,8</v>
      </c>
    </row>
    <row r="11" spans="1:39" x14ac:dyDescent="0.25">
      <c r="A11" s="3">
        <v>9</v>
      </c>
      <c r="B11" s="3">
        <v>9</v>
      </c>
      <c r="C11" s="9">
        <f t="shared" si="4"/>
        <v>2</v>
      </c>
      <c r="D11" s="7">
        <f t="shared" si="4"/>
        <v>3</v>
      </c>
      <c r="E11" s="5">
        <f t="shared" si="4"/>
        <v>4</v>
      </c>
      <c r="F11" s="4">
        <f t="shared" si="4"/>
        <v>5</v>
      </c>
      <c r="G11" s="9">
        <f t="shared" si="4"/>
        <v>6</v>
      </c>
      <c r="H11" s="7">
        <f t="shared" si="4"/>
        <v>7</v>
      </c>
      <c r="I11" s="5">
        <f t="shared" si="4"/>
        <v>8</v>
      </c>
      <c r="J11" s="4">
        <v>9</v>
      </c>
      <c r="K11" s="9" t="str">
        <f t="shared" ref="K11:K20" si="5">C11 &amp; "," &amp; D11 &amp; CHAR(10) &amp; G11 &amp; "," &amp; H11</f>
        <v>2,3
6,7</v>
      </c>
      <c r="L11" s="6" t="str">
        <f t="shared" ref="L11:L15" si="6">C11 &amp; "," &amp; E11 &amp; CHAR(10) &amp; G11 &amp; "," &amp; I11</f>
        <v>2,4
6,8</v>
      </c>
      <c r="W11" t="str">
        <f>K10</f>
        <v>1,2
5,6</v>
      </c>
      <c r="Y11" s="9" t="str">
        <f t="shared" si="1"/>
        <v>2,3
6,7</v>
      </c>
      <c r="Z11" s="5" t="str">
        <f t="shared" si="2"/>
        <v>2,4
6,8</v>
      </c>
      <c r="AA11" s="4">
        <f t="shared" si="3"/>
        <v>0</v>
      </c>
      <c r="AH11" t="str">
        <f>Y10</f>
        <v>1,2
5,6</v>
      </c>
      <c r="AL11" t="str">
        <f>Z10</f>
        <v>1,3
5,7</v>
      </c>
      <c r="AM11" s="17" t="s">
        <v>32</v>
      </c>
    </row>
    <row r="12" spans="1:39" x14ac:dyDescent="0.25">
      <c r="A12" s="3">
        <v>10</v>
      </c>
      <c r="B12" s="3">
        <v>10</v>
      </c>
      <c r="C12" s="9">
        <f t="shared" si="4"/>
        <v>3</v>
      </c>
      <c r="D12" s="7">
        <f t="shared" si="4"/>
        <v>4</v>
      </c>
      <c r="E12" s="5">
        <f t="shared" si="4"/>
        <v>5</v>
      </c>
      <c r="F12" s="4">
        <f t="shared" si="4"/>
        <v>6</v>
      </c>
      <c r="G12" s="9">
        <f t="shared" si="4"/>
        <v>7</v>
      </c>
      <c r="H12" s="7">
        <f t="shared" si="4"/>
        <v>8</v>
      </c>
      <c r="I12" s="5">
        <f t="shared" si="4"/>
        <v>9</v>
      </c>
      <c r="J12" s="4">
        <v>10</v>
      </c>
      <c r="K12" s="9" t="str">
        <f t="shared" si="5"/>
        <v>3,4
7,8</v>
      </c>
      <c r="N12">
        <f t="shared" ref="N12:V21" si="7">O11</f>
        <v>0</v>
      </c>
      <c r="O12">
        <f t="shared" si="7"/>
        <v>0</v>
      </c>
      <c r="P12">
        <f t="shared" si="7"/>
        <v>0</v>
      </c>
      <c r="Q12">
        <f t="shared" si="7"/>
        <v>0</v>
      </c>
      <c r="R12">
        <f t="shared" si="7"/>
        <v>0</v>
      </c>
      <c r="S12">
        <f t="shared" si="7"/>
        <v>0</v>
      </c>
      <c r="T12">
        <f t="shared" si="7"/>
        <v>0</v>
      </c>
      <c r="U12">
        <f t="shared" si="7"/>
        <v>0</v>
      </c>
      <c r="V12" t="str">
        <f>W11</f>
        <v>1,2
5,6</v>
      </c>
      <c r="W12" t="str">
        <f t="shared" ref="W12:W13" si="8">K11</f>
        <v>2,3
6,7</v>
      </c>
      <c r="Y12" s="9" t="str">
        <f t="shared" si="1"/>
        <v>3,4
7,8</v>
      </c>
      <c r="Z12" s="5">
        <f t="shared" si="2"/>
        <v>0</v>
      </c>
      <c r="AA12" s="4">
        <f t="shared" si="3"/>
        <v>0</v>
      </c>
      <c r="AB12">
        <f t="shared" ref="AB12:AG22" si="9">AC11</f>
        <v>0</v>
      </c>
      <c r="AC12">
        <f t="shared" si="9"/>
        <v>0</v>
      </c>
      <c r="AD12">
        <f t="shared" si="9"/>
        <v>0</v>
      </c>
      <c r="AE12">
        <f t="shared" si="9"/>
        <v>0</v>
      </c>
      <c r="AF12">
        <f t="shared" si="9"/>
        <v>0</v>
      </c>
      <c r="AG12" t="str">
        <f t="shared" si="9"/>
        <v>1,2
5,6</v>
      </c>
      <c r="AH12" t="str">
        <f>Y11</f>
        <v>2,3
6,7</v>
      </c>
      <c r="AI12">
        <f t="shared" ref="AI12:AK16" si="10">AJ11</f>
        <v>0</v>
      </c>
      <c r="AJ12">
        <f t="shared" si="10"/>
        <v>0</v>
      </c>
      <c r="AK12" t="str">
        <f>AL11</f>
        <v>1,3
5,7</v>
      </c>
      <c r="AL12" t="str">
        <f>Z11</f>
        <v>2,4
6,8</v>
      </c>
      <c r="AM12" s="17" t="s">
        <v>31</v>
      </c>
    </row>
    <row r="13" spans="1:39" x14ac:dyDescent="0.25">
      <c r="A13" s="3">
        <v>11</v>
      </c>
      <c r="B13" s="3">
        <v>11</v>
      </c>
      <c r="C13" s="9">
        <f t="shared" si="4"/>
        <v>4</v>
      </c>
      <c r="D13" s="7">
        <f t="shared" si="4"/>
        <v>5</v>
      </c>
      <c r="E13" s="5">
        <f t="shared" si="4"/>
        <v>6</v>
      </c>
      <c r="F13" s="4">
        <f t="shared" si="4"/>
        <v>7</v>
      </c>
      <c r="G13" s="9">
        <f t="shared" si="4"/>
        <v>8</v>
      </c>
      <c r="H13" s="7">
        <f t="shared" si="4"/>
        <v>9</v>
      </c>
      <c r="I13" s="5">
        <f t="shared" si="4"/>
        <v>10</v>
      </c>
      <c r="J13" s="4">
        <v>11</v>
      </c>
      <c r="K13" s="9" t="s">
        <v>0</v>
      </c>
      <c r="N13">
        <f t="shared" si="7"/>
        <v>0</v>
      </c>
      <c r="O13">
        <f t="shared" si="7"/>
        <v>0</v>
      </c>
      <c r="P13">
        <f t="shared" si="7"/>
        <v>0</v>
      </c>
      <c r="Q13">
        <f t="shared" si="7"/>
        <v>0</v>
      </c>
      <c r="R13">
        <f t="shared" si="7"/>
        <v>0</v>
      </c>
      <c r="S13">
        <f t="shared" si="7"/>
        <v>0</v>
      </c>
      <c r="T13">
        <f t="shared" si="7"/>
        <v>0</v>
      </c>
      <c r="U13" t="str">
        <f t="shared" si="7"/>
        <v>1,2
5,6</v>
      </c>
      <c r="V13" t="str">
        <f t="shared" si="7"/>
        <v>2,3
6,7</v>
      </c>
      <c r="W13" t="str">
        <f t="shared" si="8"/>
        <v>3,4
7,8</v>
      </c>
      <c r="Y13" s="9" t="s">
        <v>0</v>
      </c>
      <c r="Z13" s="5">
        <f t="shared" si="2"/>
        <v>0</v>
      </c>
      <c r="AA13" s="4">
        <f t="shared" si="3"/>
        <v>0</v>
      </c>
      <c r="AB13">
        <f t="shared" si="9"/>
        <v>0</v>
      </c>
      <c r="AC13">
        <f t="shared" si="9"/>
        <v>0</v>
      </c>
      <c r="AD13">
        <f t="shared" si="9"/>
        <v>0</v>
      </c>
      <c r="AE13">
        <f t="shared" si="9"/>
        <v>0</v>
      </c>
      <c r="AF13" t="str">
        <f t="shared" si="9"/>
        <v>1,2
5,6</v>
      </c>
      <c r="AG13" t="str">
        <f t="shared" si="9"/>
        <v>2,3
6,7</v>
      </c>
      <c r="AH13" t="str">
        <f>Y12</f>
        <v>3,4
7,8</v>
      </c>
      <c r="AI13">
        <f t="shared" si="10"/>
        <v>0</v>
      </c>
      <c r="AJ13">
        <f t="shared" ref="AJ13:AL14" si="11">AJ12</f>
        <v>0</v>
      </c>
      <c r="AK13" t="str">
        <f t="shared" si="11"/>
        <v>1,3
5,7</v>
      </c>
      <c r="AL13" t="str">
        <f t="shared" si="11"/>
        <v>2,4
6,8</v>
      </c>
      <c r="AM13" s="17" t="s">
        <v>30</v>
      </c>
    </row>
    <row r="14" spans="1:39" x14ac:dyDescent="0.25">
      <c r="A14" s="3">
        <v>12</v>
      </c>
      <c r="B14" s="3">
        <v>12</v>
      </c>
      <c r="C14" s="9">
        <f t="shared" si="4"/>
        <v>5</v>
      </c>
      <c r="D14" s="7">
        <f t="shared" si="4"/>
        <v>6</v>
      </c>
      <c r="E14" s="5">
        <f t="shared" si="4"/>
        <v>7</v>
      </c>
      <c r="F14" s="4">
        <f t="shared" si="4"/>
        <v>8</v>
      </c>
      <c r="G14" s="9">
        <f t="shared" si="4"/>
        <v>9</v>
      </c>
      <c r="H14" s="7">
        <f t="shared" si="4"/>
        <v>10</v>
      </c>
      <c r="I14" s="5">
        <f t="shared" si="4"/>
        <v>11</v>
      </c>
      <c r="J14" s="4">
        <v>12</v>
      </c>
      <c r="K14" s="9" t="str">
        <f t="shared" si="5"/>
        <v>5,6
9,10</v>
      </c>
      <c r="L14" s="6" t="str">
        <f t="shared" si="6"/>
        <v>5,7
9,11</v>
      </c>
      <c r="N14">
        <f t="shared" ref="N14:V14" si="12">N13</f>
        <v>0</v>
      </c>
      <c r="O14">
        <f t="shared" si="12"/>
        <v>0</v>
      </c>
      <c r="P14">
        <f t="shared" si="12"/>
        <v>0</v>
      </c>
      <c r="Q14">
        <f t="shared" si="12"/>
        <v>0</v>
      </c>
      <c r="R14">
        <f t="shared" si="12"/>
        <v>0</v>
      </c>
      <c r="S14">
        <f t="shared" si="12"/>
        <v>0</v>
      </c>
      <c r="T14">
        <f t="shared" si="12"/>
        <v>0</v>
      </c>
      <c r="U14" t="str">
        <f t="shared" si="12"/>
        <v>1,2
5,6</v>
      </c>
      <c r="V14" t="str">
        <f t="shared" si="12"/>
        <v>2,3
6,7</v>
      </c>
      <c r="W14" t="str">
        <f>W13</f>
        <v>3,4
7,8</v>
      </c>
      <c r="Y14" s="9" t="str">
        <f t="shared" si="1"/>
        <v>5,6
9,10</v>
      </c>
      <c r="Z14" s="5" t="str">
        <f t="shared" si="2"/>
        <v>5,7
9,11</v>
      </c>
      <c r="AA14" s="4">
        <f t="shared" si="3"/>
        <v>0</v>
      </c>
      <c r="AB14">
        <f t="shared" ref="AB14" si="13">AB13</f>
        <v>0</v>
      </c>
      <c r="AC14">
        <f t="shared" ref="AC14" si="14">AC13</f>
        <v>0</v>
      </c>
      <c r="AD14">
        <f t="shared" ref="AD14" si="15">AD13</f>
        <v>0</v>
      </c>
      <c r="AE14">
        <f t="shared" ref="AE14" si="16">AE13</f>
        <v>0</v>
      </c>
      <c r="AF14" t="str">
        <f t="shared" ref="AF14" si="17">AF13</f>
        <v>1,2
5,6</v>
      </c>
      <c r="AG14" t="str">
        <f t="shared" ref="AG14" si="18">AG13</f>
        <v>2,3
6,7</v>
      </c>
      <c r="AH14" t="str">
        <f t="shared" ref="AH14" si="19">AH13</f>
        <v>3,4
7,8</v>
      </c>
      <c r="AI14">
        <f t="shared" si="10"/>
        <v>0</v>
      </c>
      <c r="AJ14">
        <f t="shared" si="11"/>
        <v>0</v>
      </c>
      <c r="AK14" t="str">
        <f t="shared" si="11"/>
        <v>1,3
5,7</v>
      </c>
      <c r="AL14" t="str">
        <f t="shared" si="11"/>
        <v>2,4
6,8</v>
      </c>
      <c r="AM14" t="s">
        <v>29</v>
      </c>
    </row>
    <row r="15" spans="1:39" x14ac:dyDescent="0.25">
      <c r="A15" s="3">
        <v>13</v>
      </c>
      <c r="B15" s="3">
        <v>13</v>
      </c>
      <c r="C15" s="9">
        <f t="shared" si="4"/>
        <v>6</v>
      </c>
      <c r="D15" s="7">
        <f t="shared" si="4"/>
        <v>7</v>
      </c>
      <c r="E15" s="5">
        <f t="shared" si="4"/>
        <v>8</v>
      </c>
      <c r="F15" s="4">
        <f t="shared" si="4"/>
        <v>9</v>
      </c>
      <c r="G15" s="9">
        <f t="shared" si="4"/>
        <v>10</v>
      </c>
      <c r="H15" s="7">
        <f t="shared" si="4"/>
        <v>11</v>
      </c>
      <c r="I15" s="5">
        <f t="shared" si="4"/>
        <v>12</v>
      </c>
      <c r="J15" s="4">
        <v>13</v>
      </c>
      <c r="K15" s="9" t="str">
        <f t="shared" si="5"/>
        <v>6,7
10,11</v>
      </c>
      <c r="L15" s="6" t="str">
        <f t="shared" si="6"/>
        <v>6,8
10,12</v>
      </c>
      <c r="N15">
        <f t="shared" ref="N15:V17" si="20">O14</f>
        <v>0</v>
      </c>
      <c r="O15">
        <f t="shared" si="20"/>
        <v>0</v>
      </c>
      <c r="P15">
        <f t="shared" si="20"/>
        <v>0</v>
      </c>
      <c r="Q15">
        <f t="shared" si="20"/>
        <v>0</v>
      </c>
      <c r="R15">
        <f t="shared" si="20"/>
        <v>0</v>
      </c>
      <c r="S15">
        <f t="shared" si="20"/>
        <v>0</v>
      </c>
      <c r="T15" t="str">
        <f t="shared" si="20"/>
        <v>1,2
5,6</v>
      </c>
      <c r="U15" t="str">
        <f t="shared" si="20"/>
        <v>2,3
6,7</v>
      </c>
      <c r="V15" t="str">
        <f>W14</f>
        <v>3,4
7,8</v>
      </c>
      <c r="W15" s="1" t="str">
        <f>K14</f>
        <v>5,6
9,10</v>
      </c>
      <c r="Y15" s="9" t="str">
        <f t="shared" si="1"/>
        <v>6,7
10,11</v>
      </c>
      <c r="Z15" s="5" t="str">
        <f t="shared" si="2"/>
        <v>6,8
10,12</v>
      </c>
      <c r="AA15" s="4">
        <f t="shared" si="3"/>
        <v>0</v>
      </c>
      <c r="AB15">
        <f t="shared" ref="AB15:AG17" si="21">AC14</f>
        <v>0</v>
      </c>
      <c r="AC15">
        <f t="shared" si="21"/>
        <v>0</v>
      </c>
      <c r="AD15">
        <f t="shared" si="21"/>
        <v>0</v>
      </c>
      <c r="AE15" t="str">
        <f t="shared" si="21"/>
        <v>1,2
5,6</v>
      </c>
      <c r="AF15" t="str">
        <f t="shared" si="21"/>
        <v>2,3
6,7</v>
      </c>
      <c r="AG15" t="str">
        <f t="shared" si="21"/>
        <v>3,4
7,8</v>
      </c>
      <c r="AH15" t="str">
        <f>Y14</f>
        <v>5,6
9,10</v>
      </c>
      <c r="AI15">
        <f t="shared" si="10"/>
        <v>0</v>
      </c>
      <c r="AJ15" t="str">
        <f t="shared" si="10"/>
        <v>1,3
5,7</v>
      </c>
      <c r="AK15" t="str">
        <f t="shared" si="10"/>
        <v>2,4
6,8</v>
      </c>
      <c r="AL15" t="str">
        <f>Z14</f>
        <v>5,7
9,11</v>
      </c>
      <c r="AM15" s="17" t="s">
        <v>28</v>
      </c>
    </row>
    <row r="16" spans="1:39" x14ac:dyDescent="0.25">
      <c r="A16" s="3">
        <v>14</v>
      </c>
      <c r="B16" s="3">
        <v>14</v>
      </c>
      <c r="C16" s="9">
        <f t="shared" si="4"/>
        <v>7</v>
      </c>
      <c r="D16" s="7">
        <f t="shared" si="4"/>
        <v>8</v>
      </c>
      <c r="E16" s="5">
        <f t="shared" si="4"/>
        <v>9</v>
      </c>
      <c r="F16" s="4">
        <f t="shared" si="4"/>
        <v>10</v>
      </c>
      <c r="G16" s="9">
        <f t="shared" si="4"/>
        <v>11</v>
      </c>
      <c r="H16" s="7">
        <f t="shared" si="4"/>
        <v>12</v>
      </c>
      <c r="I16" s="5">
        <f t="shared" si="4"/>
        <v>13</v>
      </c>
      <c r="J16" s="4">
        <v>14</v>
      </c>
      <c r="K16" s="9" t="str">
        <f t="shared" si="5"/>
        <v>7,8
11,12</v>
      </c>
      <c r="N16">
        <f t="shared" si="20"/>
        <v>0</v>
      </c>
      <c r="O16">
        <f t="shared" si="20"/>
        <v>0</v>
      </c>
      <c r="P16">
        <f t="shared" si="20"/>
        <v>0</v>
      </c>
      <c r="Q16">
        <f t="shared" si="20"/>
        <v>0</v>
      </c>
      <c r="R16">
        <f t="shared" si="20"/>
        <v>0</v>
      </c>
      <c r="S16" t="str">
        <f t="shared" si="20"/>
        <v>1,2
5,6</v>
      </c>
      <c r="T16" t="str">
        <f t="shared" si="20"/>
        <v>2,3
6,7</v>
      </c>
      <c r="U16" t="str">
        <f t="shared" si="20"/>
        <v>3,4
7,8</v>
      </c>
      <c r="V16" t="str">
        <f t="shared" si="20"/>
        <v>5,6
9,10</v>
      </c>
      <c r="W16" t="str">
        <f>K15</f>
        <v>6,7
10,11</v>
      </c>
      <c r="Y16" s="9" t="str">
        <f t="shared" si="1"/>
        <v>7,8
11,12</v>
      </c>
      <c r="Z16" s="5">
        <f t="shared" si="2"/>
        <v>0</v>
      </c>
      <c r="AA16" s="4">
        <f t="shared" si="3"/>
        <v>0</v>
      </c>
      <c r="AB16">
        <f t="shared" si="21"/>
        <v>0</v>
      </c>
      <c r="AC16">
        <f t="shared" si="21"/>
        <v>0</v>
      </c>
      <c r="AD16" t="str">
        <f t="shared" si="21"/>
        <v>1,2
5,6</v>
      </c>
      <c r="AE16" t="str">
        <f t="shared" si="21"/>
        <v>2,3
6,7</v>
      </c>
      <c r="AF16" t="str">
        <f t="shared" si="21"/>
        <v>3,4
7,8</v>
      </c>
      <c r="AG16" t="str">
        <f t="shared" si="21"/>
        <v>5,6
9,10</v>
      </c>
      <c r="AH16" t="str">
        <f>Y15</f>
        <v>6,7
10,11</v>
      </c>
      <c r="AI16" t="str">
        <f t="shared" si="10"/>
        <v>1,3
5,7</v>
      </c>
      <c r="AJ16" t="str">
        <f t="shared" si="10"/>
        <v>2,4
6,8</v>
      </c>
      <c r="AK16" t="str">
        <f t="shared" si="10"/>
        <v>5,7
9,11</v>
      </c>
      <c r="AL16" s="18" t="str">
        <f>Z15</f>
        <v>6,8
10,12</v>
      </c>
      <c r="AM16" s="17" t="s">
        <v>27</v>
      </c>
    </row>
    <row r="17" spans="1:39" x14ac:dyDescent="0.25">
      <c r="A17" s="3">
        <v>15</v>
      </c>
      <c r="B17" s="3">
        <v>15</v>
      </c>
      <c r="C17" s="9">
        <f t="shared" si="4"/>
        <v>8</v>
      </c>
      <c r="D17" s="7">
        <f t="shared" si="4"/>
        <v>9</v>
      </c>
      <c r="E17" s="5">
        <f t="shared" si="4"/>
        <v>10</v>
      </c>
      <c r="F17" s="4">
        <f t="shared" si="4"/>
        <v>11</v>
      </c>
      <c r="G17" s="9">
        <f t="shared" si="4"/>
        <v>12</v>
      </c>
      <c r="H17" s="7">
        <f t="shared" si="4"/>
        <v>13</v>
      </c>
      <c r="I17" s="5">
        <f t="shared" si="4"/>
        <v>14</v>
      </c>
      <c r="J17" s="4">
        <v>15</v>
      </c>
      <c r="K17" s="9" t="s">
        <v>0</v>
      </c>
      <c r="N17">
        <f t="shared" si="20"/>
        <v>0</v>
      </c>
      <c r="O17">
        <f t="shared" si="20"/>
        <v>0</v>
      </c>
      <c r="P17">
        <f t="shared" si="20"/>
        <v>0</v>
      </c>
      <c r="Q17">
        <f t="shared" si="20"/>
        <v>0</v>
      </c>
      <c r="R17" t="str">
        <f t="shared" si="20"/>
        <v>1,2
5,6</v>
      </c>
      <c r="S17" t="str">
        <f t="shared" si="20"/>
        <v>2,3
6,7</v>
      </c>
      <c r="T17" t="str">
        <f t="shared" si="20"/>
        <v>3,4
7,8</v>
      </c>
      <c r="U17" t="str">
        <f t="shared" si="20"/>
        <v>5,6
9,10</v>
      </c>
      <c r="V17" t="str">
        <f t="shared" si="20"/>
        <v>6,7
10,11</v>
      </c>
      <c r="W17" t="str">
        <f>K16</f>
        <v>7,8
11,12</v>
      </c>
      <c r="Y17" s="9" t="s">
        <v>0</v>
      </c>
      <c r="Z17" s="5">
        <f t="shared" si="2"/>
        <v>0</v>
      </c>
      <c r="AA17" s="4">
        <f t="shared" si="3"/>
        <v>0</v>
      </c>
      <c r="AB17">
        <f t="shared" si="21"/>
        <v>0</v>
      </c>
      <c r="AC17" t="str">
        <f t="shared" si="21"/>
        <v>1,2
5,6</v>
      </c>
      <c r="AD17" t="str">
        <f t="shared" si="21"/>
        <v>2,3
6,7</v>
      </c>
      <c r="AE17" t="str">
        <f t="shared" si="21"/>
        <v>3,4
7,8</v>
      </c>
      <c r="AF17" t="str">
        <f t="shared" si="21"/>
        <v>5,6
9,10</v>
      </c>
      <c r="AG17" t="str">
        <f t="shared" si="21"/>
        <v>6,7
10,11</v>
      </c>
      <c r="AH17" s="10" t="str">
        <f>Y16</f>
        <v>7,8
11,12</v>
      </c>
      <c r="AM17" s="17" t="s">
        <v>26</v>
      </c>
    </row>
    <row r="18" spans="1:39" x14ac:dyDescent="0.25">
      <c r="A18" s="3">
        <v>16</v>
      </c>
      <c r="B18" s="3">
        <v>16</v>
      </c>
      <c r="C18" s="9">
        <f t="shared" si="4"/>
        <v>9</v>
      </c>
      <c r="D18" s="7">
        <f t="shared" si="4"/>
        <v>10</v>
      </c>
      <c r="E18" s="5">
        <f t="shared" si="4"/>
        <v>11</v>
      </c>
      <c r="F18" s="4">
        <f t="shared" si="4"/>
        <v>12</v>
      </c>
      <c r="G18" s="9">
        <f t="shared" si="4"/>
        <v>13</v>
      </c>
      <c r="H18" s="7">
        <f t="shared" si="4"/>
        <v>14</v>
      </c>
      <c r="I18" s="5">
        <f t="shared" si="4"/>
        <v>15</v>
      </c>
      <c r="J18" s="4">
        <v>16</v>
      </c>
      <c r="K18" s="9" t="str">
        <f t="shared" si="5"/>
        <v>9,10
13,14</v>
      </c>
      <c r="N18">
        <f t="shared" ref="N18:V18" si="22">N17</f>
        <v>0</v>
      </c>
      <c r="O18">
        <f t="shared" si="22"/>
        <v>0</v>
      </c>
      <c r="P18">
        <f t="shared" si="22"/>
        <v>0</v>
      </c>
      <c r="Q18">
        <f t="shared" si="22"/>
        <v>0</v>
      </c>
      <c r="R18" t="str">
        <f t="shared" si="22"/>
        <v>1,2
5,6</v>
      </c>
      <c r="S18" t="str">
        <f t="shared" si="22"/>
        <v>2,3
6,7</v>
      </c>
      <c r="T18" t="str">
        <f t="shared" si="22"/>
        <v>3,4
7,8</v>
      </c>
      <c r="U18" t="str">
        <f t="shared" si="22"/>
        <v>5,6
9,10</v>
      </c>
      <c r="V18" t="str">
        <f t="shared" si="22"/>
        <v>6,7
10,11</v>
      </c>
      <c r="W18" t="str">
        <f>W17</f>
        <v>7,8
11,12</v>
      </c>
      <c r="Y18" s="9" t="s">
        <v>0</v>
      </c>
      <c r="Z18" s="5">
        <f t="shared" si="2"/>
        <v>0</v>
      </c>
      <c r="AA18" s="4">
        <f t="shared" si="3"/>
        <v>0</v>
      </c>
      <c r="AB18">
        <f t="shared" ref="AB18" si="23">AB17</f>
        <v>0</v>
      </c>
      <c r="AC18" t="str">
        <f t="shared" ref="AC18" si="24">AC17</f>
        <v>1,2
5,6</v>
      </c>
      <c r="AD18" t="str">
        <f t="shared" ref="AD18" si="25">AD17</f>
        <v>2,3
6,7</v>
      </c>
      <c r="AE18" t="str">
        <f t="shared" ref="AE18" si="26">AE17</f>
        <v>3,4
7,8</v>
      </c>
      <c r="AF18" t="str">
        <f t="shared" ref="AF18" si="27">AF17</f>
        <v>5,6
9,10</v>
      </c>
      <c r="AG18" t="str">
        <f t="shared" ref="AG18" si="28">AG17</f>
        <v>6,7
10,11</v>
      </c>
      <c r="AH18" t="str">
        <f t="shared" ref="AH18:AH22" si="29">AH17</f>
        <v>7,8
11,12</v>
      </c>
      <c r="AM18" t="s">
        <v>25</v>
      </c>
    </row>
    <row r="19" spans="1:39" x14ac:dyDescent="0.25">
      <c r="A19" s="3">
        <v>17</v>
      </c>
      <c r="B19" s="3" t="s">
        <v>10</v>
      </c>
      <c r="C19" s="9">
        <f t="shared" si="4"/>
        <v>10</v>
      </c>
      <c r="D19" s="7">
        <f t="shared" si="4"/>
        <v>11</v>
      </c>
      <c r="E19" s="5">
        <f t="shared" si="4"/>
        <v>12</v>
      </c>
      <c r="F19" s="4">
        <f t="shared" si="4"/>
        <v>13</v>
      </c>
      <c r="G19" s="9">
        <f t="shared" si="4"/>
        <v>14</v>
      </c>
      <c r="H19" s="7">
        <f t="shared" si="4"/>
        <v>15</v>
      </c>
      <c r="I19" s="5">
        <f t="shared" si="4"/>
        <v>16</v>
      </c>
      <c r="J19" s="4">
        <v>0</v>
      </c>
      <c r="K19" s="9" t="str">
        <f t="shared" si="5"/>
        <v>10,11
14,15</v>
      </c>
      <c r="N19">
        <f t="shared" si="7"/>
        <v>0</v>
      </c>
      <c r="O19">
        <f t="shared" si="7"/>
        <v>0</v>
      </c>
      <c r="P19">
        <f t="shared" si="7"/>
        <v>0</v>
      </c>
      <c r="Q19" t="str">
        <f t="shared" si="7"/>
        <v>1,2
5,6</v>
      </c>
      <c r="R19" t="str">
        <f t="shared" si="7"/>
        <v>2,3
6,7</v>
      </c>
      <c r="S19" t="str">
        <f t="shared" si="7"/>
        <v>3,4
7,8</v>
      </c>
      <c r="T19" t="str">
        <f t="shared" si="7"/>
        <v>5,6
9,10</v>
      </c>
      <c r="U19" t="str">
        <f t="shared" si="7"/>
        <v>6,7
10,11</v>
      </c>
      <c r="V19" t="str">
        <f t="shared" si="7"/>
        <v>7,8
11,12</v>
      </c>
      <c r="W19" s="1" t="str">
        <f>K18</f>
        <v>9,10
13,14</v>
      </c>
      <c r="Y19" s="9" t="s">
        <v>0</v>
      </c>
      <c r="Z19" s="5">
        <f t="shared" si="2"/>
        <v>0</v>
      </c>
      <c r="AA19" s="4">
        <f t="shared" si="3"/>
        <v>0</v>
      </c>
      <c r="AB19" t="str">
        <f t="shared" si="9"/>
        <v>1,2
5,6</v>
      </c>
      <c r="AC19" t="str">
        <f t="shared" si="9"/>
        <v>2,3
6,7</v>
      </c>
      <c r="AD19" t="str">
        <f t="shared" si="9"/>
        <v>3,4
7,8</v>
      </c>
      <c r="AE19" t="str">
        <f t="shared" si="9"/>
        <v>5,6
9,10</v>
      </c>
      <c r="AF19" t="str">
        <f t="shared" si="9"/>
        <v>6,7
10,11</v>
      </c>
      <c r="AG19" t="str">
        <f t="shared" si="9"/>
        <v>7,8
11,12</v>
      </c>
      <c r="AH19" t="str">
        <f t="shared" si="29"/>
        <v>7,8
11,12</v>
      </c>
      <c r="AK19" s="1"/>
      <c r="AM19" s="17" t="s">
        <v>24</v>
      </c>
    </row>
    <row r="20" spans="1:39" x14ac:dyDescent="0.25">
      <c r="A20" s="3">
        <v>18</v>
      </c>
      <c r="B20" s="3" t="s">
        <v>10</v>
      </c>
      <c r="C20" s="9">
        <f t="shared" ref="C20:I20" si="30">D19</f>
        <v>11</v>
      </c>
      <c r="D20" s="7">
        <f t="shared" si="30"/>
        <v>12</v>
      </c>
      <c r="E20" s="5">
        <f t="shared" si="30"/>
        <v>13</v>
      </c>
      <c r="F20" s="4">
        <f t="shared" si="30"/>
        <v>14</v>
      </c>
      <c r="G20" s="9">
        <f t="shared" si="30"/>
        <v>15</v>
      </c>
      <c r="H20" s="7">
        <f t="shared" si="30"/>
        <v>16</v>
      </c>
      <c r="I20" s="5">
        <f t="shared" si="30"/>
        <v>0</v>
      </c>
      <c r="J20" s="4">
        <v>0</v>
      </c>
      <c r="K20" s="9" t="str">
        <f t="shared" si="5"/>
        <v>11,12
15,16</v>
      </c>
      <c r="N20">
        <f t="shared" si="7"/>
        <v>0</v>
      </c>
      <c r="O20">
        <f t="shared" si="7"/>
        <v>0</v>
      </c>
      <c r="P20" t="str">
        <f t="shared" si="7"/>
        <v>1,2
5,6</v>
      </c>
      <c r="Q20" t="str">
        <f t="shared" si="7"/>
        <v>2,3
6,7</v>
      </c>
      <c r="R20" t="str">
        <f t="shared" si="7"/>
        <v>3,4
7,8</v>
      </c>
      <c r="S20" t="str">
        <f t="shared" si="7"/>
        <v>5,6
9,10</v>
      </c>
      <c r="T20" t="str">
        <f t="shared" si="7"/>
        <v>6,7
10,11</v>
      </c>
      <c r="U20" t="str">
        <f t="shared" si="7"/>
        <v>7,8
11,12</v>
      </c>
      <c r="V20" t="str">
        <f t="shared" si="7"/>
        <v>9,10
13,14</v>
      </c>
      <c r="W20" t="str">
        <f>K19</f>
        <v>10,11
14,15</v>
      </c>
      <c r="Y20" s="9" t="s">
        <v>0</v>
      </c>
      <c r="Z20" s="5">
        <f t="shared" si="2"/>
        <v>0</v>
      </c>
      <c r="AA20" s="4">
        <f t="shared" si="3"/>
        <v>0</v>
      </c>
      <c r="AB20" t="str">
        <f t="shared" si="9"/>
        <v>2,3
6,7</v>
      </c>
      <c r="AC20" t="str">
        <f t="shared" si="9"/>
        <v>3,4
7,8</v>
      </c>
      <c r="AD20" t="str">
        <f t="shared" si="9"/>
        <v>5,6
9,10</v>
      </c>
      <c r="AE20" t="str">
        <f t="shared" si="9"/>
        <v>6,7
10,11</v>
      </c>
      <c r="AF20" t="str">
        <f t="shared" si="9"/>
        <v>7,8
11,12</v>
      </c>
      <c r="AG20" t="str">
        <f t="shared" si="9"/>
        <v>7,8
11,12</v>
      </c>
      <c r="AH20" t="str">
        <f t="shared" si="29"/>
        <v>7,8
11,12</v>
      </c>
    </row>
    <row r="21" spans="1:39" x14ac:dyDescent="0.25">
      <c r="A21" s="3">
        <v>19</v>
      </c>
      <c r="B21" s="3"/>
      <c r="C21" s="9" t="s">
        <v>0</v>
      </c>
      <c r="D21" s="7"/>
      <c r="E21" s="5"/>
      <c r="F21" s="4"/>
      <c r="G21" s="9"/>
      <c r="I21" s="5"/>
      <c r="J21" s="4"/>
      <c r="K21" s="9"/>
      <c r="N21">
        <f t="shared" si="7"/>
        <v>0</v>
      </c>
      <c r="O21" t="str">
        <f t="shared" si="7"/>
        <v>1,2
5,6</v>
      </c>
      <c r="P21" t="str">
        <f t="shared" si="7"/>
        <v>2,3
6,7</v>
      </c>
      <c r="Q21" t="str">
        <f t="shared" si="7"/>
        <v>3,4
7,8</v>
      </c>
      <c r="R21" t="str">
        <f t="shared" si="7"/>
        <v>5,6
9,10</v>
      </c>
      <c r="S21" t="str">
        <f t="shared" si="7"/>
        <v>6,7
10,11</v>
      </c>
      <c r="T21" t="str">
        <f t="shared" si="7"/>
        <v>7,8
11,12</v>
      </c>
      <c r="U21" t="str">
        <f t="shared" si="7"/>
        <v>9,10
13,14</v>
      </c>
      <c r="V21" t="str">
        <f t="shared" si="7"/>
        <v>10,11
14,15</v>
      </c>
      <c r="W21" t="str">
        <f>K20</f>
        <v>11,12
15,16</v>
      </c>
      <c r="Y21" s="9">
        <f t="shared" si="1"/>
        <v>0</v>
      </c>
      <c r="Z21" s="5">
        <f t="shared" si="2"/>
        <v>0</v>
      </c>
      <c r="AA21" s="4">
        <f t="shared" si="3"/>
        <v>0</v>
      </c>
      <c r="AB21" t="str">
        <f t="shared" si="9"/>
        <v>3,4
7,8</v>
      </c>
      <c r="AC21" t="str">
        <f t="shared" si="9"/>
        <v>5,6
9,10</v>
      </c>
      <c r="AD21" t="str">
        <f t="shared" si="9"/>
        <v>6,7
10,11</v>
      </c>
      <c r="AE21" t="str">
        <f t="shared" si="9"/>
        <v>7,8
11,12</v>
      </c>
      <c r="AF21" t="str">
        <f t="shared" si="9"/>
        <v>7,8
11,12</v>
      </c>
      <c r="AG21" t="str">
        <f t="shared" si="9"/>
        <v>7,8
11,12</v>
      </c>
      <c r="AH21" t="str">
        <f t="shared" si="29"/>
        <v>7,8
11,12</v>
      </c>
    </row>
    <row r="22" spans="1:39" x14ac:dyDescent="0.25">
      <c r="A22" s="3">
        <v>20</v>
      </c>
      <c r="B22" s="3"/>
      <c r="C22" s="9"/>
      <c r="D22" s="7"/>
      <c r="E22" s="5"/>
      <c r="F22" s="4"/>
      <c r="G22" s="9"/>
      <c r="I22" s="5"/>
      <c r="J22" s="4"/>
      <c r="K22" s="9"/>
      <c r="Y22" s="9">
        <f t="shared" si="1"/>
        <v>0</v>
      </c>
      <c r="Z22" s="5">
        <f t="shared" si="2"/>
        <v>0</v>
      </c>
      <c r="AA22" s="4">
        <f t="shared" si="3"/>
        <v>0</v>
      </c>
      <c r="AB22" t="str">
        <f t="shared" si="9"/>
        <v>5,6
9,10</v>
      </c>
      <c r="AC22" t="str">
        <f t="shared" si="9"/>
        <v>6,7
10,11</v>
      </c>
      <c r="AD22" t="str">
        <f t="shared" si="9"/>
        <v>7,8
11,12</v>
      </c>
      <c r="AE22" t="str">
        <f t="shared" si="9"/>
        <v>7,8
11,12</v>
      </c>
      <c r="AF22" t="str">
        <f t="shared" si="9"/>
        <v>7,8
11,12</v>
      </c>
      <c r="AG22" t="str">
        <f t="shared" si="9"/>
        <v>7,8
11,12</v>
      </c>
      <c r="AH22" t="str">
        <f t="shared" si="29"/>
        <v>7,8
11,12</v>
      </c>
    </row>
    <row r="23" spans="1:39" x14ac:dyDescent="0.25">
      <c r="A23" s="3">
        <v>21</v>
      </c>
      <c r="B23" s="3"/>
      <c r="C23" s="9"/>
      <c r="D23" s="7"/>
      <c r="E23" s="5"/>
      <c r="F23" s="4"/>
      <c r="G23" s="9"/>
      <c r="I23" s="5"/>
      <c r="J23" s="4"/>
      <c r="K23" s="9"/>
      <c r="Y23" s="9">
        <f t="shared" si="1"/>
        <v>0</v>
      </c>
      <c r="Z23" s="5">
        <f t="shared" si="2"/>
        <v>0</v>
      </c>
      <c r="AA23" s="4">
        <f t="shared" si="3"/>
        <v>0</v>
      </c>
    </row>
    <row r="24" spans="1:39" x14ac:dyDescent="0.25">
      <c r="A24" s="3">
        <v>22</v>
      </c>
      <c r="B24" s="3"/>
      <c r="C24" s="9"/>
      <c r="D24" s="7"/>
      <c r="E24" s="5"/>
      <c r="F24" s="4"/>
      <c r="G24" s="9"/>
      <c r="I24" s="5"/>
      <c r="J24" s="4"/>
      <c r="K24" s="9"/>
      <c r="Y24" s="9">
        <f t="shared" si="1"/>
        <v>0</v>
      </c>
      <c r="Z24" s="5">
        <f t="shared" si="2"/>
        <v>0</v>
      </c>
      <c r="AA24" s="4">
        <f t="shared" si="3"/>
        <v>0</v>
      </c>
    </row>
    <row r="25" spans="1:39" x14ac:dyDescent="0.25">
      <c r="A25" s="3">
        <v>23</v>
      </c>
      <c r="B25" s="3"/>
      <c r="C25" s="9"/>
      <c r="D25" s="7"/>
      <c r="E25" s="5"/>
      <c r="F25" s="4"/>
      <c r="G25" s="9"/>
      <c r="I25" s="5"/>
      <c r="J25" s="4"/>
      <c r="K25" s="9"/>
      <c r="Y25" s="9">
        <f t="shared" si="1"/>
        <v>0</v>
      </c>
      <c r="Z25" s="5">
        <f t="shared" si="2"/>
        <v>0</v>
      </c>
      <c r="AA25" s="4">
        <f t="shared" si="3"/>
        <v>0</v>
      </c>
    </row>
    <row r="26" spans="1:39" x14ac:dyDescent="0.25">
      <c r="A26" s="3">
        <v>24</v>
      </c>
      <c r="B26" s="3"/>
      <c r="C26" s="9"/>
      <c r="D26" s="7"/>
      <c r="E26" s="5"/>
      <c r="F26" s="4"/>
      <c r="G26" s="9"/>
      <c r="I26" s="5"/>
      <c r="J26" s="4"/>
      <c r="K26" s="9"/>
      <c r="Y26" s="9">
        <f t="shared" si="1"/>
        <v>0</v>
      </c>
      <c r="Z26" s="5">
        <f t="shared" si="2"/>
        <v>0</v>
      </c>
      <c r="AA26" s="4">
        <f t="shared" si="3"/>
        <v>0</v>
      </c>
    </row>
    <row r="27" spans="1:39" x14ac:dyDescent="0.25">
      <c r="A27" s="3">
        <v>25</v>
      </c>
      <c r="B27" s="3"/>
      <c r="C27" s="9"/>
      <c r="D27" s="7"/>
      <c r="E27" s="5"/>
      <c r="F27" s="4"/>
      <c r="G27" s="9"/>
      <c r="I27" s="5"/>
      <c r="J27" s="4"/>
      <c r="K27" s="9"/>
      <c r="Y27" s="9">
        <f t="shared" si="1"/>
        <v>0</v>
      </c>
      <c r="Z27" s="5">
        <f t="shared" si="2"/>
        <v>0</v>
      </c>
      <c r="AA27" s="4">
        <f t="shared" si="3"/>
        <v>0</v>
      </c>
    </row>
    <row r="28" spans="1:39" x14ac:dyDescent="0.25">
      <c r="A28" s="3">
        <v>26</v>
      </c>
      <c r="B28" s="3"/>
      <c r="C28" s="9"/>
      <c r="D28" s="7"/>
      <c r="E28" s="5"/>
      <c r="F28" s="4"/>
      <c r="G28" s="9"/>
      <c r="I28" s="5"/>
      <c r="J28" s="4"/>
      <c r="K28" s="9"/>
      <c r="Y28" s="9">
        <f t="shared" si="1"/>
        <v>0</v>
      </c>
      <c r="Z28" s="5">
        <f t="shared" si="2"/>
        <v>0</v>
      </c>
      <c r="AA28" s="4">
        <f t="shared" si="3"/>
        <v>0</v>
      </c>
    </row>
    <row r="29" spans="1:39" x14ac:dyDescent="0.25">
      <c r="A29" s="3">
        <v>27</v>
      </c>
      <c r="B29" s="3"/>
      <c r="C29" s="9"/>
      <c r="D29" s="7"/>
      <c r="E29" s="5"/>
      <c r="F29" s="4"/>
      <c r="G29" s="9"/>
      <c r="I29" s="5"/>
      <c r="J29" s="4"/>
      <c r="K29" s="9"/>
      <c r="Y29" s="9">
        <f t="shared" si="1"/>
        <v>0</v>
      </c>
      <c r="Z29" s="5">
        <f t="shared" si="2"/>
        <v>0</v>
      </c>
      <c r="AA29" s="4">
        <f t="shared" si="3"/>
        <v>0</v>
      </c>
    </row>
    <row r="30" spans="1:39" x14ac:dyDescent="0.25">
      <c r="A30" s="3">
        <v>28</v>
      </c>
      <c r="B30" s="3"/>
      <c r="C30" s="9"/>
      <c r="D30" s="7"/>
      <c r="E30" s="5"/>
      <c r="F30" s="4"/>
      <c r="G30" s="9"/>
      <c r="I30" s="5"/>
      <c r="J30" s="4"/>
      <c r="K30" s="9"/>
      <c r="Y30" s="9">
        <f t="shared" si="1"/>
        <v>0</v>
      </c>
      <c r="Z30" s="5">
        <f t="shared" si="2"/>
        <v>0</v>
      </c>
      <c r="AA30" s="4">
        <f t="shared" si="3"/>
        <v>0</v>
      </c>
    </row>
    <row r="31" spans="1:39" x14ac:dyDescent="0.25">
      <c r="A31" s="3">
        <v>29</v>
      </c>
      <c r="B31" s="3"/>
      <c r="C31" s="9"/>
      <c r="D31" s="7"/>
      <c r="E31" s="5"/>
      <c r="F31" s="4"/>
      <c r="G31" s="9"/>
      <c r="I31" s="5"/>
      <c r="J31" s="4"/>
      <c r="K31" s="9"/>
      <c r="Y31" s="9">
        <f t="shared" si="1"/>
        <v>0</v>
      </c>
      <c r="Z31" s="5">
        <f t="shared" si="2"/>
        <v>0</v>
      </c>
      <c r="AA31" s="4">
        <f t="shared" si="3"/>
        <v>0</v>
      </c>
    </row>
    <row r="32" spans="1:39" x14ac:dyDescent="0.25">
      <c r="A32" s="3">
        <v>30</v>
      </c>
      <c r="B32" s="3"/>
      <c r="C32" s="9"/>
      <c r="D32" s="7"/>
      <c r="E32" s="5"/>
      <c r="F32" s="4"/>
      <c r="G32" s="9"/>
      <c r="I32" s="5"/>
      <c r="J32" s="4"/>
      <c r="K32" s="9"/>
      <c r="Y32" s="9">
        <f t="shared" si="1"/>
        <v>0</v>
      </c>
      <c r="Z32" s="5">
        <f t="shared" si="2"/>
        <v>0</v>
      </c>
      <c r="AA32" s="4">
        <f t="shared" si="3"/>
        <v>0</v>
      </c>
    </row>
    <row r="33" spans="1:27" x14ac:dyDescent="0.25">
      <c r="A33" s="3">
        <v>31</v>
      </c>
      <c r="B33" s="3"/>
      <c r="C33" s="9"/>
      <c r="D33" s="7"/>
      <c r="E33" s="5"/>
      <c r="F33" s="4"/>
      <c r="G33" s="9"/>
      <c r="I33" s="5"/>
      <c r="J33" s="4"/>
      <c r="K33" s="9"/>
      <c r="Y33" s="9">
        <f t="shared" si="1"/>
        <v>0</v>
      </c>
      <c r="Z33" s="5">
        <f t="shared" si="2"/>
        <v>0</v>
      </c>
      <c r="AA33" s="4">
        <f t="shared" si="3"/>
        <v>0</v>
      </c>
    </row>
    <row r="34" spans="1:27" x14ac:dyDescent="0.25">
      <c r="A34" s="3">
        <v>32</v>
      </c>
      <c r="B34" s="3"/>
      <c r="C34" s="9"/>
      <c r="D34" s="7"/>
      <c r="E34" s="5"/>
      <c r="F34" s="4"/>
      <c r="G34" s="9"/>
      <c r="I34" s="5"/>
      <c r="J34" s="4"/>
      <c r="K34" s="9"/>
      <c r="Y34" s="9">
        <f t="shared" si="1"/>
        <v>0</v>
      </c>
      <c r="Z34" s="5">
        <f t="shared" si="2"/>
        <v>0</v>
      </c>
      <c r="AA34" s="4">
        <f t="shared" si="3"/>
        <v>0</v>
      </c>
    </row>
    <row r="35" spans="1:27" x14ac:dyDescent="0.25">
      <c r="A35" s="3">
        <v>33</v>
      </c>
      <c r="B35" s="3"/>
      <c r="C35" s="9"/>
      <c r="D35" s="7"/>
      <c r="E35" s="5"/>
      <c r="F35" s="4"/>
      <c r="G35" s="9"/>
      <c r="I35" s="5"/>
      <c r="J35" s="4"/>
      <c r="K35" s="9"/>
      <c r="Y35" s="9">
        <f t="shared" si="1"/>
        <v>0</v>
      </c>
      <c r="Z35" s="5">
        <f t="shared" si="2"/>
        <v>0</v>
      </c>
      <c r="AA35" s="4">
        <f t="shared" si="3"/>
        <v>0</v>
      </c>
    </row>
    <row r="36" spans="1:27" x14ac:dyDescent="0.25">
      <c r="A36" s="3">
        <v>34</v>
      </c>
      <c r="B36" s="3"/>
      <c r="C36" s="9"/>
      <c r="D36" s="7"/>
      <c r="E36" s="5"/>
      <c r="F36" s="4"/>
      <c r="G36" s="9"/>
      <c r="I36" s="5"/>
      <c r="J36" s="4"/>
      <c r="K36" s="9"/>
      <c r="Y36" s="9">
        <f t="shared" si="1"/>
        <v>0</v>
      </c>
      <c r="Z36" s="5">
        <f t="shared" si="2"/>
        <v>0</v>
      </c>
      <c r="AA36" s="4">
        <f t="shared" si="3"/>
        <v>0</v>
      </c>
    </row>
    <row r="37" spans="1:27" x14ac:dyDescent="0.25">
      <c r="A37" s="3">
        <v>35</v>
      </c>
      <c r="B37" s="3"/>
      <c r="C37" s="9"/>
      <c r="D37" s="7"/>
      <c r="E37" s="5"/>
      <c r="F37" s="4"/>
      <c r="G37" s="9"/>
      <c r="I37" s="5"/>
      <c r="J37" s="4"/>
      <c r="K37" s="9"/>
      <c r="Y37" s="9">
        <f t="shared" si="1"/>
        <v>0</v>
      </c>
      <c r="Z37" s="5">
        <f t="shared" si="2"/>
        <v>0</v>
      </c>
      <c r="AA37" s="4">
        <f t="shared" si="3"/>
        <v>0</v>
      </c>
    </row>
    <row r="38" spans="1:27" x14ac:dyDescent="0.25">
      <c r="A38" s="3">
        <v>36</v>
      </c>
      <c r="B38" s="3"/>
      <c r="C38" s="9"/>
      <c r="D38" s="7"/>
      <c r="E38" s="5"/>
      <c r="F38" s="4"/>
      <c r="G38" s="9"/>
      <c r="I38" s="5"/>
      <c r="J38" s="4"/>
      <c r="K38" s="9"/>
      <c r="Y38" s="9">
        <f t="shared" si="1"/>
        <v>0</v>
      </c>
      <c r="Z38" s="5">
        <f t="shared" si="2"/>
        <v>0</v>
      </c>
      <c r="AA38" s="4">
        <f t="shared" si="3"/>
        <v>0</v>
      </c>
    </row>
    <row r="39" spans="1:27" x14ac:dyDescent="0.25">
      <c r="A39" s="3">
        <v>37</v>
      </c>
      <c r="B39" s="3"/>
      <c r="C39" s="9"/>
      <c r="D39" s="7"/>
      <c r="E39" s="5"/>
      <c r="F39" s="4"/>
      <c r="G39" s="9"/>
      <c r="I39" s="5"/>
      <c r="J39" s="4"/>
      <c r="K39" s="9"/>
      <c r="Y39" s="9">
        <f t="shared" si="1"/>
        <v>0</v>
      </c>
      <c r="Z39" s="5">
        <f t="shared" si="2"/>
        <v>0</v>
      </c>
      <c r="AA39" s="4">
        <f t="shared" si="3"/>
        <v>0</v>
      </c>
    </row>
    <row r="40" spans="1:27" x14ac:dyDescent="0.25">
      <c r="A40" s="3">
        <v>38</v>
      </c>
      <c r="B40" s="3"/>
      <c r="C40" s="9"/>
      <c r="D40" s="7"/>
      <c r="E40" s="5"/>
      <c r="F40" s="4"/>
      <c r="G40" s="9"/>
      <c r="I40" s="5"/>
      <c r="J40" s="4"/>
      <c r="K40" s="9"/>
      <c r="Y40" s="9">
        <f t="shared" si="1"/>
        <v>0</v>
      </c>
      <c r="Z40" s="5">
        <f t="shared" si="2"/>
        <v>0</v>
      </c>
      <c r="AA40" s="4">
        <f t="shared" si="3"/>
        <v>0</v>
      </c>
    </row>
    <row r="41" spans="1:27" x14ac:dyDescent="0.25">
      <c r="A41" s="3">
        <v>39</v>
      </c>
      <c r="B41" s="3"/>
      <c r="C41" s="9"/>
      <c r="D41" s="7"/>
      <c r="E41" s="5"/>
      <c r="F41" s="4"/>
      <c r="G41" s="9"/>
      <c r="I41" s="5"/>
      <c r="J41" s="4"/>
      <c r="K41" s="9"/>
      <c r="Y41" s="9">
        <f t="shared" si="1"/>
        <v>0</v>
      </c>
      <c r="Z41" s="5">
        <f t="shared" si="2"/>
        <v>0</v>
      </c>
      <c r="AA41" s="4">
        <f t="shared" si="3"/>
        <v>0</v>
      </c>
    </row>
    <row r="42" spans="1:27" x14ac:dyDescent="0.25">
      <c r="A42" s="3">
        <v>40</v>
      </c>
      <c r="B42" s="3"/>
      <c r="C42" s="9"/>
      <c r="D42" s="7"/>
      <c r="E42" s="5"/>
      <c r="F42" s="4"/>
      <c r="G42" s="9"/>
      <c r="I42" s="5"/>
      <c r="J42" s="4"/>
      <c r="K42" s="9"/>
      <c r="Y42" s="9">
        <f t="shared" si="1"/>
        <v>0</v>
      </c>
      <c r="Z42" s="5">
        <f t="shared" si="2"/>
        <v>0</v>
      </c>
      <c r="AA42" s="4">
        <f t="shared" si="3"/>
        <v>0</v>
      </c>
    </row>
    <row r="43" spans="1:27" x14ac:dyDescent="0.25">
      <c r="A43" s="3">
        <v>41</v>
      </c>
      <c r="B43" s="3"/>
      <c r="C43" s="9"/>
      <c r="D43" s="7"/>
      <c r="E43" s="5"/>
      <c r="F43" s="4"/>
      <c r="G43" s="9"/>
      <c r="I43" s="5"/>
      <c r="J43" s="4"/>
      <c r="K43" s="9"/>
      <c r="Y43" s="9">
        <f t="shared" si="1"/>
        <v>0</v>
      </c>
      <c r="Z43" s="5">
        <f t="shared" si="2"/>
        <v>0</v>
      </c>
      <c r="AA43" s="4">
        <f t="shared" si="3"/>
        <v>0</v>
      </c>
    </row>
    <row r="44" spans="1:27" x14ac:dyDescent="0.25">
      <c r="A44" s="3">
        <v>42</v>
      </c>
      <c r="B44" s="3"/>
      <c r="C44" s="9"/>
      <c r="D44" s="7"/>
      <c r="E44" s="5"/>
      <c r="F44" s="4"/>
      <c r="G44" s="9"/>
      <c r="I44" s="5"/>
      <c r="J44" s="4"/>
      <c r="K44" s="9"/>
      <c r="Y44" s="9">
        <f t="shared" si="1"/>
        <v>0</v>
      </c>
      <c r="Z44" s="5">
        <f t="shared" si="2"/>
        <v>0</v>
      </c>
      <c r="AA44" s="4">
        <f t="shared" si="3"/>
        <v>0</v>
      </c>
    </row>
    <row r="45" spans="1:27" x14ac:dyDescent="0.25">
      <c r="A45" s="3">
        <v>43</v>
      </c>
      <c r="B45" s="3"/>
      <c r="C45" s="9"/>
      <c r="D45" s="7"/>
      <c r="E45" s="5"/>
      <c r="F45" s="4"/>
      <c r="G45" s="9"/>
      <c r="I45" s="5"/>
      <c r="J45" s="4"/>
      <c r="K45" s="9"/>
      <c r="Y45" s="9">
        <f t="shared" si="1"/>
        <v>0</v>
      </c>
      <c r="Z45" s="5">
        <f t="shared" si="2"/>
        <v>0</v>
      </c>
      <c r="AA45" s="4">
        <f t="shared" si="3"/>
        <v>0</v>
      </c>
    </row>
    <row r="46" spans="1:27" x14ac:dyDescent="0.25">
      <c r="A46" s="3">
        <v>44</v>
      </c>
      <c r="B46" s="3"/>
      <c r="C46" s="9"/>
      <c r="D46" s="7"/>
      <c r="E46" s="5"/>
      <c r="F46" s="4"/>
      <c r="G46" s="9"/>
      <c r="I46" s="5"/>
      <c r="J46" s="4"/>
      <c r="K46" s="9"/>
      <c r="Y46" s="9">
        <f t="shared" si="1"/>
        <v>0</v>
      </c>
      <c r="Z46" s="5">
        <f t="shared" si="2"/>
        <v>0</v>
      </c>
      <c r="AA46" s="4">
        <f t="shared" si="3"/>
        <v>0</v>
      </c>
    </row>
    <row r="47" spans="1:27" x14ac:dyDescent="0.25">
      <c r="A47" s="3">
        <v>45</v>
      </c>
      <c r="B47" s="3"/>
      <c r="C47" s="9"/>
      <c r="D47" s="7"/>
      <c r="E47" s="5"/>
      <c r="F47" s="4"/>
      <c r="G47" s="9"/>
      <c r="I47" s="5"/>
      <c r="J47" s="4"/>
      <c r="K47" s="9"/>
      <c r="Y47" s="9">
        <f t="shared" si="1"/>
        <v>0</v>
      </c>
      <c r="Z47" s="5">
        <f t="shared" si="2"/>
        <v>0</v>
      </c>
      <c r="AA47" s="4">
        <f t="shared" si="3"/>
        <v>0</v>
      </c>
    </row>
    <row r="48" spans="1:27" x14ac:dyDescent="0.25">
      <c r="A48" s="3">
        <v>46</v>
      </c>
      <c r="B48" s="3"/>
      <c r="C48" s="9"/>
      <c r="D48" s="7"/>
      <c r="E48" s="5"/>
      <c r="F48" s="4"/>
      <c r="G48" s="9"/>
      <c r="I48" s="5"/>
      <c r="J48" s="4"/>
      <c r="K48" s="9"/>
      <c r="Y48" s="9">
        <f t="shared" si="1"/>
        <v>0</v>
      </c>
      <c r="Z48" s="5">
        <f t="shared" si="2"/>
        <v>0</v>
      </c>
      <c r="AA48" s="4">
        <f t="shared" si="3"/>
        <v>0</v>
      </c>
    </row>
    <row r="49" spans="1:27" x14ac:dyDescent="0.25">
      <c r="A49" s="3">
        <v>47</v>
      </c>
      <c r="B49" s="3"/>
      <c r="C49" s="9"/>
      <c r="D49" s="7"/>
      <c r="E49" s="5"/>
      <c r="F49" s="4"/>
      <c r="G49" s="9"/>
      <c r="I49" s="5"/>
      <c r="J49" s="4"/>
      <c r="K49" s="9"/>
      <c r="Y49" s="9">
        <f t="shared" si="1"/>
        <v>0</v>
      </c>
      <c r="Z49" s="5">
        <f t="shared" si="2"/>
        <v>0</v>
      </c>
      <c r="AA49" s="4">
        <f t="shared" si="3"/>
        <v>0</v>
      </c>
    </row>
    <row r="50" spans="1:27" x14ac:dyDescent="0.25">
      <c r="A50" s="3">
        <v>48</v>
      </c>
      <c r="B50" s="3"/>
      <c r="C50" s="9"/>
      <c r="D50" s="7"/>
      <c r="E50" s="5"/>
      <c r="F50" s="4"/>
      <c r="G50" s="9"/>
      <c r="I50" s="5"/>
      <c r="J50" s="4"/>
      <c r="K50" s="9"/>
      <c r="Y50" s="9">
        <f t="shared" si="1"/>
        <v>0</v>
      </c>
      <c r="Z50" s="5">
        <f t="shared" si="2"/>
        <v>0</v>
      </c>
      <c r="AA50" s="4">
        <f t="shared" si="3"/>
        <v>0</v>
      </c>
    </row>
    <row r="51" spans="1:27" x14ac:dyDescent="0.25">
      <c r="A51" s="3">
        <v>49</v>
      </c>
      <c r="B51" s="3"/>
      <c r="C51" s="9"/>
      <c r="D51" s="7"/>
      <c r="E51" s="5"/>
      <c r="F51" s="4"/>
      <c r="G51" s="9"/>
      <c r="I51" s="5"/>
      <c r="J51" s="4"/>
      <c r="K51" s="9"/>
      <c r="Y51" s="9">
        <f t="shared" si="1"/>
        <v>0</v>
      </c>
      <c r="Z51" s="5">
        <f t="shared" si="2"/>
        <v>0</v>
      </c>
      <c r="AA51" s="4">
        <f t="shared" si="3"/>
        <v>0</v>
      </c>
    </row>
    <row r="52" spans="1:27" x14ac:dyDescent="0.25">
      <c r="A52" s="3">
        <v>50</v>
      </c>
      <c r="B52" s="3"/>
      <c r="C52" s="9"/>
      <c r="D52" s="7"/>
      <c r="E52" s="5"/>
      <c r="F52" s="4"/>
      <c r="G52" s="9"/>
      <c r="I52" s="5"/>
      <c r="J52" s="4"/>
      <c r="K52" s="9"/>
      <c r="Y52" s="9">
        <f t="shared" ref="Y52" si="31">K52</f>
        <v>0</v>
      </c>
    </row>
    <row r="53" spans="1:27" x14ac:dyDescent="0.25">
      <c r="A53" s="3">
        <v>51</v>
      </c>
      <c r="B53" s="3"/>
      <c r="C53" s="9"/>
      <c r="D53" s="7"/>
      <c r="E53" s="5"/>
      <c r="F53" s="4"/>
      <c r="G53" s="9"/>
      <c r="I53" s="5"/>
      <c r="J53" s="4"/>
      <c r="K53" s="9"/>
      <c r="Y53" s="9"/>
    </row>
    <row r="54" spans="1:27" x14ac:dyDescent="0.25">
      <c r="A54" s="3">
        <v>52</v>
      </c>
      <c r="B54" s="3"/>
      <c r="C54" s="9"/>
      <c r="D54" s="7"/>
      <c r="E54" s="5"/>
      <c r="F54" s="4"/>
      <c r="G54" s="9"/>
      <c r="I54" s="5"/>
      <c r="J54" s="4"/>
      <c r="K54" s="9"/>
      <c r="Y54" s="9"/>
    </row>
    <row r="55" spans="1:27" x14ac:dyDescent="0.25">
      <c r="A55" s="3">
        <v>53</v>
      </c>
      <c r="B55" s="3"/>
      <c r="C55" s="9"/>
      <c r="D55" s="7"/>
      <c r="E55" s="5"/>
      <c r="F55" s="4"/>
      <c r="G55" s="9"/>
      <c r="I55" s="5"/>
      <c r="J55" s="4"/>
      <c r="K55" s="9"/>
      <c r="Y55" s="9"/>
    </row>
    <row r="56" spans="1:27" x14ac:dyDescent="0.25">
      <c r="A56" s="3">
        <v>54</v>
      </c>
      <c r="B56" s="3"/>
      <c r="C56" s="9"/>
      <c r="D56" s="7"/>
      <c r="E56" s="5"/>
      <c r="F56" s="4"/>
      <c r="G56" s="9"/>
      <c r="I56" s="5"/>
      <c r="J56" s="4"/>
      <c r="K56" s="9"/>
      <c r="Y56" s="9"/>
    </row>
    <row r="57" spans="1:27" x14ac:dyDescent="0.25">
      <c r="A57" s="3">
        <v>55</v>
      </c>
      <c r="B57" s="3"/>
      <c r="C57" s="9"/>
      <c r="D57" s="7"/>
      <c r="E57" s="5"/>
      <c r="F57" s="4"/>
      <c r="G57" s="9"/>
      <c r="I57" s="5"/>
      <c r="J57" s="4"/>
      <c r="K57" s="9"/>
      <c r="Y57" s="9"/>
    </row>
    <row r="58" spans="1:27" x14ac:dyDescent="0.25">
      <c r="A58" s="3">
        <v>56</v>
      </c>
      <c r="B58" s="3"/>
      <c r="C58" s="9"/>
      <c r="D58" s="7"/>
      <c r="E58" s="5"/>
      <c r="F58" s="4"/>
      <c r="G58" s="9"/>
      <c r="I58" s="5"/>
      <c r="J58" s="4"/>
      <c r="K58" s="9"/>
      <c r="Y58" s="9"/>
    </row>
    <row r="59" spans="1:27" x14ac:dyDescent="0.25">
      <c r="A59" s="3">
        <v>57</v>
      </c>
      <c r="B59" s="3"/>
      <c r="C59" s="9"/>
      <c r="D59" s="7"/>
      <c r="E59" s="5"/>
      <c r="F59" s="4"/>
      <c r="G59" s="9"/>
      <c r="I59" s="5"/>
      <c r="J59" s="4"/>
      <c r="K59" s="9"/>
      <c r="Y59" s="9"/>
    </row>
    <row r="60" spans="1:27" x14ac:dyDescent="0.25">
      <c r="A60" s="3">
        <v>58</v>
      </c>
      <c r="B60" s="3"/>
      <c r="C60" s="9"/>
      <c r="D60" s="7"/>
      <c r="E60" s="5"/>
      <c r="F60" s="4"/>
      <c r="G60" s="9"/>
      <c r="I60" s="5"/>
      <c r="J60" s="4"/>
      <c r="K60" s="9"/>
      <c r="Y60" s="9"/>
    </row>
    <row r="61" spans="1:27" x14ac:dyDescent="0.25">
      <c r="A61" s="3">
        <v>59</v>
      </c>
      <c r="B61" s="3"/>
      <c r="C61" s="9"/>
      <c r="D61" s="7"/>
      <c r="E61" s="5"/>
      <c r="F61" s="4"/>
      <c r="G61" s="9"/>
      <c r="I61" s="5"/>
      <c r="J61" s="4"/>
      <c r="K61" s="9"/>
      <c r="Y61" s="9"/>
    </row>
    <row r="62" spans="1:27" x14ac:dyDescent="0.25">
      <c r="A62" s="3">
        <v>60</v>
      </c>
      <c r="B62" s="3"/>
      <c r="C62" s="9"/>
      <c r="D62" s="7"/>
      <c r="E62" s="5"/>
      <c r="F62" s="4"/>
      <c r="G62" s="9"/>
      <c r="I62" s="5"/>
      <c r="J62" s="4"/>
      <c r="K62" s="9"/>
      <c r="Y62" s="9"/>
    </row>
    <row r="63" spans="1:27" x14ac:dyDescent="0.25">
      <c r="A63" s="3">
        <v>61</v>
      </c>
      <c r="B63" s="3"/>
      <c r="C63" s="9"/>
      <c r="D63" s="7"/>
      <c r="E63" s="5"/>
      <c r="F63" s="4"/>
      <c r="G63" s="9"/>
      <c r="I63" s="5"/>
      <c r="J63" s="4"/>
      <c r="K63" s="9"/>
      <c r="Y63" s="9"/>
    </row>
    <row r="64" spans="1:27" x14ac:dyDescent="0.25">
      <c r="A64" s="3">
        <v>62</v>
      </c>
      <c r="B64" s="3"/>
      <c r="C64" s="9"/>
      <c r="D64" s="7"/>
      <c r="E64" s="5"/>
      <c r="F64" s="4"/>
      <c r="G64" s="9"/>
      <c r="I64" s="5"/>
      <c r="J64" s="4"/>
      <c r="K64" s="9"/>
      <c r="Y64" s="9"/>
    </row>
    <row r="65" spans="1:25" x14ac:dyDescent="0.25">
      <c r="A65" s="3">
        <v>63</v>
      </c>
      <c r="B65" s="3"/>
      <c r="C65" s="9"/>
      <c r="D65" s="7"/>
      <c r="E65" s="5"/>
      <c r="F65" s="4"/>
      <c r="G65" s="9"/>
      <c r="I65" s="5"/>
      <c r="J65" s="4"/>
      <c r="K65" s="9"/>
      <c r="Y65" s="9"/>
    </row>
    <row r="66" spans="1:25" x14ac:dyDescent="0.25">
      <c r="A66" s="3">
        <v>64</v>
      </c>
      <c r="B66" s="3"/>
      <c r="C66" s="9"/>
      <c r="D66" s="7"/>
      <c r="E66" s="5"/>
      <c r="F66" s="4"/>
      <c r="G66" s="9"/>
      <c r="I66" s="5"/>
      <c r="J66" s="4"/>
      <c r="K66" s="9"/>
      <c r="Y66" s="9"/>
    </row>
    <row r="67" spans="1:25" x14ac:dyDescent="0.25">
      <c r="A67" s="3">
        <v>65</v>
      </c>
      <c r="B67" s="3"/>
      <c r="C67" s="9"/>
      <c r="D67" s="7"/>
      <c r="E67" s="5"/>
      <c r="F67" s="4"/>
      <c r="G67" s="9"/>
      <c r="I67" s="5"/>
      <c r="J67" s="4"/>
      <c r="K67" s="9"/>
      <c r="Y67" s="9"/>
    </row>
    <row r="68" spans="1:25" x14ac:dyDescent="0.25">
      <c r="A68" s="3">
        <v>66</v>
      </c>
      <c r="B68" s="3"/>
      <c r="C68" s="9"/>
      <c r="D68" s="7"/>
      <c r="E68" s="5"/>
      <c r="F68" s="4"/>
      <c r="G68" s="9"/>
      <c r="I68" s="5"/>
      <c r="J68" s="4"/>
      <c r="K68" s="9"/>
      <c r="Y68" s="9"/>
    </row>
    <row r="69" spans="1:25" x14ac:dyDescent="0.25">
      <c r="A69" s="3">
        <v>67</v>
      </c>
      <c r="B69" s="3"/>
      <c r="C69" s="9"/>
      <c r="D69" s="7"/>
      <c r="E69" s="5"/>
      <c r="F69" s="4"/>
      <c r="G69" s="9"/>
      <c r="I69" s="5"/>
      <c r="J69" s="4"/>
      <c r="K69" s="9"/>
      <c r="Y69" s="9"/>
    </row>
    <row r="70" spans="1:25" x14ac:dyDescent="0.25">
      <c r="A70" s="3">
        <v>68</v>
      </c>
      <c r="B70" s="3"/>
      <c r="C70" s="9"/>
      <c r="D70" s="7"/>
      <c r="E70" s="5"/>
      <c r="F70" s="4"/>
      <c r="G70" s="9"/>
      <c r="I70" s="5"/>
      <c r="J70" s="4"/>
      <c r="K70" s="9"/>
      <c r="Y70" s="9"/>
    </row>
    <row r="71" spans="1:25" x14ac:dyDescent="0.25">
      <c r="A71" s="3">
        <v>69</v>
      </c>
      <c r="B71" s="3"/>
      <c r="C71" s="9"/>
      <c r="D71" s="7"/>
      <c r="E71" s="5"/>
      <c r="F71" s="4"/>
      <c r="G71" s="9"/>
      <c r="I71" s="5"/>
      <c r="J71" s="4"/>
      <c r="K71" s="9"/>
      <c r="Y71" s="9"/>
    </row>
    <row r="72" spans="1:25" x14ac:dyDescent="0.25">
      <c r="A72" s="3">
        <v>70</v>
      </c>
      <c r="B72" s="3"/>
      <c r="C72" s="9"/>
      <c r="D72" s="7"/>
      <c r="E72" s="5"/>
      <c r="F72" s="4"/>
      <c r="G72" s="9"/>
      <c r="I72" s="5"/>
      <c r="J72" s="4"/>
      <c r="K72" s="9"/>
      <c r="Y72" s="9"/>
    </row>
    <row r="73" spans="1:25" x14ac:dyDescent="0.25">
      <c r="A73" s="3">
        <v>71</v>
      </c>
      <c r="B73" s="3"/>
      <c r="C73" s="9"/>
      <c r="D73" s="7"/>
      <c r="E73" s="5"/>
      <c r="F73" s="4"/>
      <c r="G73" s="9"/>
      <c r="I73" s="5"/>
      <c r="J73" s="4"/>
      <c r="K73" s="9"/>
      <c r="Y73" s="9"/>
    </row>
    <row r="74" spans="1:25" x14ac:dyDescent="0.25">
      <c r="A74" s="3">
        <v>72</v>
      </c>
      <c r="B74" s="3"/>
      <c r="C74" s="9"/>
      <c r="D74" s="7"/>
      <c r="E74" s="5"/>
      <c r="F74" s="4"/>
      <c r="G74" s="9"/>
      <c r="I74" s="5"/>
      <c r="J74" s="4"/>
      <c r="K74" s="9"/>
      <c r="Y74" s="9"/>
    </row>
    <row r="75" spans="1:25" x14ac:dyDescent="0.25">
      <c r="A75" s="3">
        <v>73</v>
      </c>
      <c r="B75" s="3"/>
      <c r="C75" s="9"/>
      <c r="D75" s="7"/>
      <c r="E75" s="5"/>
      <c r="F75" s="4"/>
      <c r="G75" s="9"/>
      <c r="I75" s="5"/>
      <c r="J75" s="4"/>
      <c r="K75" s="9"/>
      <c r="Y75" s="9"/>
    </row>
    <row r="76" spans="1:25" x14ac:dyDescent="0.25">
      <c r="A76" s="3">
        <v>74</v>
      </c>
      <c r="B76" s="3"/>
      <c r="C76" s="9"/>
      <c r="D76" s="7"/>
      <c r="E76" s="5"/>
      <c r="F76" s="4"/>
      <c r="G76" s="9"/>
      <c r="I76" s="5"/>
      <c r="J76" s="4"/>
      <c r="K76" s="9"/>
      <c r="Y76" s="9"/>
    </row>
    <row r="77" spans="1:25" x14ac:dyDescent="0.25">
      <c r="A77" s="3">
        <v>75</v>
      </c>
      <c r="B77" s="3"/>
      <c r="C77" s="9"/>
      <c r="D77" s="7"/>
      <c r="E77" s="5"/>
      <c r="F77" s="4"/>
      <c r="G77" s="9"/>
      <c r="I77" s="5"/>
      <c r="J77" s="4"/>
      <c r="K77" s="9"/>
      <c r="Y77" s="9"/>
    </row>
    <row r="78" spans="1:25" x14ac:dyDescent="0.25">
      <c r="A78" s="3">
        <v>76</v>
      </c>
      <c r="B78" s="3"/>
      <c r="C78" s="9"/>
      <c r="D78" s="7"/>
      <c r="E78" s="5"/>
      <c r="F78" s="4"/>
      <c r="G78" s="9"/>
      <c r="I78" s="5"/>
      <c r="J78" s="4"/>
      <c r="K78" s="9"/>
      <c r="Y78" s="9"/>
    </row>
    <row r="79" spans="1:25" x14ac:dyDescent="0.25">
      <c r="A79" s="3">
        <v>77</v>
      </c>
      <c r="B79" s="3"/>
      <c r="C79" s="9"/>
      <c r="D79" s="7"/>
      <c r="E79" s="5"/>
      <c r="F79" s="4"/>
      <c r="G79" s="9"/>
      <c r="I79" s="5"/>
      <c r="J79" s="4"/>
      <c r="K79" s="9"/>
      <c r="Y79" s="9"/>
    </row>
    <row r="80" spans="1:25" x14ac:dyDescent="0.25">
      <c r="A80" s="3">
        <v>78</v>
      </c>
      <c r="B80" s="3"/>
      <c r="C80" s="9"/>
      <c r="D80" s="7"/>
      <c r="E80" s="5"/>
      <c r="F80" s="4"/>
      <c r="G80" s="9"/>
      <c r="I80" s="5"/>
      <c r="J80" s="4"/>
      <c r="K80" s="9"/>
      <c r="Y80" s="9"/>
    </row>
    <row r="81" spans="1:25" x14ac:dyDescent="0.25">
      <c r="A81" s="3">
        <v>79</v>
      </c>
      <c r="B81" s="3"/>
      <c r="C81" s="9"/>
      <c r="D81" s="7"/>
      <c r="E81" s="5"/>
      <c r="F81" s="4"/>
      <c r="G81" s="9"/>
      <c r="I81" s="5"/>
      <c r="J81" s="4"/>
      <c r="K81" s="9"/>
      <c r="Y81" s="9"/>
    </row>
    <row r="82" spans="1:25" x14ac:dyDescent="0.25">
      <c r="A82" s="3">
        <v>80</v>
      </c>
      <c r="B82" s="3"/>
      <c r="C82" s="9"/>
      <c r="D82" s="7"/>
      <c r="E82" s="5"/>
      <c r="F82" s="4"/>
      <c r="G82" s="9"/>
      <c r="I82" s="5"/>
      <c r="J82" s="4"/>
      <c r="K82" s="9"/>
      <c r="Y82" s="9"/>
    </row>
    <row r="83" spans="1:25" x14ac:dyDescent="0.25">
      <c r="A83" s="3">
        <v>81</v>
      </c>
      <c r="B83" s="3"/>
      <c r="C83" s="9"/>
      <c r="D83" s="7"/>
      <c r="E83" s="5"/>
      <c r="F83" s="4"/>
      <c r="G83" s="9"/>
      <c r="I83" s="5"/>
      <c r="J83" s="4"/>
      <c r="K83" s="9"/>
      <c r="Y83" s="9"/>
    </row>
    <row r="84" spans="1:25" x14ac:dyDescent="0.25">
      <c r="A84" s="3">
        <v>82</v>
      </c>
      <c r="B84" s="3"/>
      <c r="C84" s="9"/>
      <c r="D84" s="7"/>
      <c r="E84" s="5"/>
      <c r="F84" s="4"/>
      <c r="G84" s="9"/>
      <c r="I84" s="5"/>
      <c r="J84" s="4"/>
      <c r="K84" s="9"/>
      <c r="Y84" s="9"/>
    </row>
    <row r="85" spans="1:25" x14ac:dyDescent="0.25">
      <c r="A85" s="3">
        <v>83</v>
      </c>
      <c r="B85" s="3"/>
      <c r="C85" s="9"/>
      <c r="D85" s="7"/>
      <c r="E85" s="5"/>
      <c r="F85" s="4"/>
      <c r="G85" s="9"/>
      <c r="I85" s="5"/>
      <c r="J85" s="4"/>
      <c r="K85" s="9"/>
      <c r="Y85" s="9"/>
    </row>
    <row r="86" spans="1:25" x14ac:dyDescent="0.25">
      <c r="A86" s="3">
        <v>84</v>
      </c>
      <c r="B86" s="3"/>
      <c r="C86" s="9"/>
      <c r="D86" s="7"/>
      <c r="E86" s="5"/>
      <c r="F86" s="4"/>
      <c r="G86" s="9"/>
      <c r="I86" s="5"/>
      <c r="J86" s="4"/>
      <c r="K86" s="9"/>
      <c r="Y86" s="9"/>
    </row>
    <row r="87" spans="1:25" x14ac:dyDescent="0.25">
      <c r="A87" s="3">
        <v>85</v>
      </c>
      <c r="B87" s="3"/>
      <c r="C87" s="9"/>
      <c r="D87" s="7"/>
      <c r="E87" s="5"/>
      <c r="F87" s="4"/>
      <c r="G87" s="9"/>
      <c r="I87" s="5"/>
      <c r="J87" s="4"/>
      <c r="K87" s="9"/>
      <c r="Y87" s="9"/>
    </row>
    <row r="88" spans="1:25" x14ac:dyDescent="0.25">
      <c r="A88" s="3">
        <v>86</v>
      </c>
      <c r="B88" s="3"/>
      <c r="C88" s="9"/>
      <c r="D88" s="7"/>
      <c r="E88" s="5"/>
      <c r="F88" s="4"/>
      <c r="G88" s="9"/>
      <c r="I88" s="5"/>
      <c r="J88" s="4"/>
      <c r="K88" s="9"/>
      <c r="Y88" s="9"/>
    </row>
    <row r="89" spans="1:25" x14ac:dyDescent="0.25">
      <c r="A89" s="3">
        <v>87</v>
      </c>
      <c r="B89" s="3"/>
      <c r="C89" s="9"/>
      <c r="D89" s="7"/>
      <c r="E89" s="5"/>
      <c r="F89" s="4"/>
      <c r="G89" s="9"/>
      <c r="I89" s="5"/>
      <c r="J89" s="4"/>
      <c r="K89" s="9"/>
      <c r="Y89" s="9"/>
    </row>
    <row r="90" spans="1:25" x14ac:dyDescent="0.25">
      <c r="A90" s="3">
        <v>88</v>
      </c>
      <c r="B90" s="3"/>
      <c r="C90" s="9"/>
      <c r="D90" s="7"/>
      <c r="E90" s="5"/>
      <c r="F90" s="4"/>
      <c r="G90" s="9"/>
      <c r="I90" s="5"/>
      <c r="J90" s="4"/>
      <c r="K90" s="9"/>
      <c r="Y90" s="9"/>
    </row>
    <row r="91" spans="1:25" x14ac:dyDescent="0.25">
      <c r="A91" s="3">
        <v>89</v>
      </c>
      <c r="B91" s="3"/>
      <c r="C91" s="9"/>
      <c r="D91" s="7"/>
      <c r="E91" s="5"/>
      <c r="F91" s="4"/>
      <c r="G91" s="9"/>
      <c r="I91" s="5"/>
      <c r="J91" s="4"/>
      <c r="K91" s="9"/>
      <c r="Y91" s="9"/>
    </row>
    <row r="92" spans="1:25" x14ac:dyDescent="0.25">
      <c r="A92" s="3">
        <v>90</v>
      </c>
      <c r="B92" s="3"/>
      <c r="C92" s="9"/>
      <c r="D92" s="7"/>
      <c r="E92" s="5"/>
      <c r="F92" s="4"/>
      <c r="G92" s="9"/>
      <c r="I92" s="5"/>
      <c r="J92" s="4"/>
      <c r="K92" s="9"/>
      <c r="Y92" s="9"/>
    </row>
    <row r="93" spans="1:25" x14ac:dyDescent="0.25">
      <c r="A93" s="3">
        <v>91</v>
      </c>
      <c r="B93" s="3"/>
      <c r="C93" s="9"/>
      <c r="D93" s="7"/>
      <c r="E93" s="5"/>
      <c r="F93" s="4"/>
      <c r="G93" s="9"/>
      <c r="I93" s="5"/>
      <c r="J93" s="4"/>
      <c r="K93" s="9"/>
      <c r="Y93" s="9"/>
    </row>
    <row r="94" spans="1:25" x14ac:dyDescent="0.25">
      <c r="A94" s="3">
        <v>92</v>
      </c>
      <c r="B94" s="3"/>
      <c r="C94" s="9"/>
      <c r="D94" s="7"/>
      <c r="E94" s="5"/>
      <c r="F94" s="4"/>
      <c r="G94" s="9"/>
      <c r="I94" s="5"/>
      <c r="J94" s="4"/>
      <c r="K94" s="9"/>
      <c r="Y94" s="9"/>
    </row>
    <row r="95" spans="1:25" x14ac:dyDescent="0.25">
      <c r="A95" s="3">
        <v>93</v>
      </c>
      <c r="B95" s="3"/>
      <c r="C95" s="9"/>
      <c r="D95" s="7"/>
      <c r="E95" s="5"/>
      <c r="F95" s="4"/>
      <c r="G95" s="9"/>
      <c r="I95" s="5"/>
      <c r="J95" s="4"/>
      <c r="K95" s="9"/>
      <c r="Y95" s="9"/>
    </row>
    <row r="96" spans="1:25" x14ac:dyDescent="0.25">
      <c r="A96" s="3">
        <v>94</v>
      </c>
      <c r="B96" s="3"/>
      <c r="C96" s="9"/>
      <c r="D96" s="7"/>
      <c r="E96" s="5"/>
      <c r="F96" s="4"/>
      <c r="G96" s="9"/>
      <c r="I96" s="5"/>
      <c r="J96" s="4"/>
      <c r="K96" s="9"/>
      <c r="Y96" s="9"/>
    </row>
    <row r="97" spans="1:25" x14ac:dyDescent="0.25">
      <c r="A97" s="3">
        <v>95</v>
      </c>
      <c r="B97" s="3"/>
      <c r="C97" s="9"/>
      <c r="D97" s="7"/>
      <c r="E97" s="5"/>
      <c r="F97" s="4"/>
      <c r="G97" s="9"/>
      <c r="I97" s="5"/>
      <c r="J97" s="4"/>
      <c r="K97" s="9"/>
      <c r="Y97" s="9"/>
    </row>
    <row r="98" spans="1:25" x14ac:dyDescent="0.25">
      <c r="A98" s="3">
        <v>96</v>
      </c>
      <c r="B98" s="3"/>
      <c r="C98" s="9"/>
      <c r="D98" s="7"/>
      <c r="E98" s="5"/>
      <c r="F98" s="4"/>
      <c r="G98" s="9"/>
      <c r="I98" s="5"/>
      <c r="J98" s="4"/>
      <c r="K98" s="9"/>
      <c r="Y98" s="9"/>
    </row>
    <row r="99" spans="1:25" x14ac:dyDescent="0.25">
      <c r="A99" s="3">
        <v>97</v>
      </c>
      <c r="B99" s="3"/>
      <c r="C99" s="9"/>
      <c r="D99" s="7"/>
      <c r="E99" s="5"/>
      <c r="F99" s="4"/>
      <c r="G99" s="9"/>
      <c r="I99" s="5"/>
      <c r="J99" s="4"/>
      <c r="K99" s="9"/>
      <c r="Y99" s="9"/>
    </row>
    <row r="100" spans="1:25" x14ac:dyDescent="0.25">
      <c r="A100" s="3">
        <v>98</v>
      </c>
      <c r="B100" s="3"/>
      <c r="C100" s="9"/>
      <c r="D100" s="7"/>
      <c r="E100" s="5"/>
      <c r="F100" s="4"/>
      <c r="G100" s="9"/>
      <c r="I100" s="5"/>
      <c r="J100" s="4"/>
      <c r="K100" s="9"/>
      <c r="Y100" s="9"/>
    </row>
    <row r="101" spans="1:25" x14ac:dyDescent="0.25">
      <c r="A101" s="3">
        <v>99</v>
      </c>
      <c r="B101" s="3"/>
      <c r="C101" s="9"/>
      <c r="D101" s="7"/>
      <c r="E101" s="5"/>
      <c r="F101" s="4"/>
      <c r="G101" s="9"/>
      <c r="I101" s="5"/>
      <c r="J101" s="4"/>
      <c r="K101" s="9"/>
      <c r="Y101" s="9"/>
    </row>
    <row r="102" spans="1:25" x14ac:dyDescent="0.25">
      <c r="A102" s="3">
        <v>100</v>
      </c>
      <c r="B102" s="3"/>
      <c r="C102" s="9"/>
      <c r="D102" s="7"/>
      <c r="E102" s="5"/>
      <c r="F102" s="4"/>
      <c r="G102" s="9"/>
      <c r="I102" s="5"/>
      <c r="J102" s="4"/>
      <c r="K102" s="9"/>
      <c r="Y102" s="9"/>
    </row>
    <row r="103" spans="1:25" x14ac:dyDescent="0.25">
      <c r="A103" s="3">
        <v>101</v>
      </c>
      <c r="B103" s="3"/>
      <c r="C103" s="9"/>
      <c r="D103" s="7"/>
      <c r="E103" s="5"/>
      <c r="F103" s="4"/>
      <c r="G103" s="9"/>
      <c r="I103" s="5"/>
      <c r="J103" s="4"/>
      <c r="K103" s="9"/>
      <c r="Y103" s="9"/>
    </row>
    <row r="104" spans="1:25" x14ac:dyDescent="0.25">
      <c r="A104" s="3">
        <v>102</v>
      </c>
      <c r="B104" s="3"/>
      <c r="C104" s="9"/>
      <c r="D104" s="7"/>
      <c r="E104" s="5"/>
      <c r="F104" s="4"/>
      <c r="G104" s="9"/>
      <c r="I104" s="5"/>
      <c r="J104" s="4"/>
      <c r="K104" s="9"/>
      <c r="Y104" s="9"/>
    </row>
    <row r="105" spans="1:25" x14ac:dyDescent="0.25">
      <c r="A105" s="3">
        <v>103</v>
      </c>
      <c r="B105" s="3"/>
      <c r="C105" s="9"/>
      <c r="D105" s="7"/>
      <c r="E105" s="5"/>
      <c r="F105" s="4"/>
      <c r="G105" s="9"/>
      <c r="I105" s="5"/>
      <c r="J105" s="4"/>
      <c r="K105" s="9"/>
      <c r="Y105" s="9"/>
    </row>
    <row r="106" spans="1:25" x14ac:dyDescent="0.25">
      <c r="A106" s="3">
        <v>104</v>
      </c>
      <c r="B106" s="3"/>
      <c r="C106" s="9"/>
      <c r="D106" s="7"/>
      <c r="E106" s="5"/>
      <c r="F106" s="4"/>
      <c r="G106" s="9"/>
      <c r="I106" s="5"/>
      <c r="J106" s="4"/>
      <c r="K106" s="9"/>
      <c r="Y106" s="9"/>
    </row>
    <row r="107" spans="1:25" x14ac:dyDescent="0.25">
      <c r="A107" s="3">
        <v>105</v>
      </c>
      <c r="B107" s="3"/>
      <c r="C107" s="9"/>
      <c r="D107" s="7"/>
      <c r="E107" s="5"/>
      <c r="F107" s="4"/>
      <c r="G107" s="9"/>
      <c r="I107" s="5"/>
      <c r="J107" s="4"/>
      <c r="K107" s="9"/>
      <c r="Y107" s="9"/>
    </row>
    <row r="108" spans="1:25" x14ac:dyDescent="0.25">
      <c r="A108" s="3">
        <v>106</v>
      </c>
      <c r="B108" s="3"/>
      <c r="C108" s="9"/>
      <c r="D108" s="7"/>
      <c r="E108" s="5"/>
      <c r="F108" s="4"/>
      <c r="G108" s="9"/>
      <c r="I108" s="5"/>
      <c r="J108" s="4"/>
      <c r="K108" s="9"/>
      <c r="Y108" s="9"/>
    </row>
    <row r="109" spans="1:25" x14ac:dyDescent="0.25">
      <c r="A109" s="3">
        <v>107</v>
      </c>
      <c r="B109" s="3"/>
      <c r="C109" s="9"/>
      <c r="D109" s="7"/>
      <c r="E109" s="5"/>
      <c r="F109" s="4"/>
      <c r="G109" s="9"/>
      <c r="I109" s="5"/>
      <c r="J109" s="4"/>
      <c r="K109" s="9"/>
      <c r="Y109" s="9"/>
    </row>
    <row r="110" spans="1:25" x14ac:dyDescent="0.25">
      <c r="A110" s="3">
        <v>108</v>
      </c>
      <c r="B110" s="3"/>
      <c r="C110" s="9"/>
      <c r="D110" s="7"/>
      <c r="E110" s="5"/>
      <c r="F110" s="4"/>
      <c r="G110" s="9"/>
      <c r="I110" s="5"/>
      <c r="J110" s="4"/>
      <c r="K110" s="9"/>
      <c r="Y110" s="9"/>
    </row>
    <row r="111" spans="1:25" x14ac:dyDescent="0.25">
      <c r="A111" s="3">
        <v>109</v>
      </c>
      <c r="B111" s="3"/>
      <c r="C111" s="9"/>
      <c r="D111" s="7"/>
      <c r="E111" s="5"/>
      <c r="F111" s="4"/>
      <c r="G111" s="9"/>
      <c r="I111" s="5"/>
      <c r="J111" s="4"/>
      <c r="K111" s="9"/>
      <c r="Y111" s="9"/>
    </row>
    <row r="112" spans="1:25" x14ac:dyDescent="0.25">
      <c r="A112" s="3">
        <v>110</v>
      </c>
      <c r="B112" s="3"/>
      <c r="C112" s="9"/>
      <c r="D112" s="7"/>
      <c r="E112" s="5"/>
      <c r="F112" s="4"/>
      <c r="G112" s="9"/>
      <c r="I112" s="5"/>
      <c r="J112" s="4"/>
      <c r="K112" s="9"/>
      <c r="Y112" s="9"/>
    </row>
    <row r="113" spans="1:25" x14ac:dyDescent="0.25">
      <c r="A113" s="3">
        <v>111</v>
      </c>
      <c r="B113" s="3"/>
      <c r="C113" s="9"/>
      <c r="D113" s="7"/>
      <c r="E113" s="5"/>
      <c r="F113" s="4"/>
      <c r="G113" s="9"/>
      <c r="I113" s="5"/>
      <c r="J113" s="4"/>
      <c r="K113" s="9"/>
      <c r="Y113" s="9"/>
    </row>
    <row r="114" spans="1:25" x14ac:dyDescent="0.25">
      <c r="A114" s="3">
        <v>112</v>
      </c>
      <c r="B114" s="3"/>
      <c r="C114" s="9"/>
      <c r="D114" s="7"/>
      <c r="E114" s="5"/>
      <c r="F114" s="4"/>
      <c r="G114" s="9"/>
      <c r="I114" s="5"/>
      <c r="J114" s="4"/>
      <c r="K114" s="9"/>
      <c r="Y114" s="9"/>
    </row>
    <row r="115" spans="1:25" x14ac:dyDescent="0.25">
      <c r="A115" s="3">
        <v>113</v>
      </c>
      <c r="B115" s="3"/>
      <c r="C115" s="9"/>
      <c r="D115" s="7"/>
      <c r="E115" s="5"/>
      <c r="F115" s="4"/>
      <c r="G115" s="9"/>
      <c r="I115" s="5"/>
      <c r="J115" s="4"/>
      <c r="K115" s="9"/>
      <c r="Y115" s="9"/>
    </row>
    <row r="116" spans="1:25" x14ac:dyDescent="0.25">
      <c r="A116" s="3">
        <v>114</v>
      </c>
      <c r="B116" s="3"/>
      <c r="C116" s="9"/>
      <c r="D116" s="7"/>
      <c r="E116" s="5"/>
      <c r="F116" s="4"/>
      <c r="G116" s="9"/>
      <c r="I116" s="5"/>
      <c r="J116" s="4"/>
      <c r="K116" s="9"/>
      <c r="Y116" s="9"/>
    </row>
    <row r="117" spans="1:25" x14ac:dyDescent="0.25">
      <c r="A117" s="3">
        <v>115</v>
      </c>
      <c r="B117" s="3"/>
      <c r="C117" s="9"/>
      <c r="D117" s="7"/>
      <c r="E117" s="5"/>
      <c r="F117" s="4"/>
      <c r="G117" s="9"/>
      <c r="I117" s="5"/>
      <c r="J117" s="4"/>
      <c r="K117" s="9"/>
      <c r="Y117" s="9"/>
    </row>
    <row r="118" spans="1:25" x14ac:dyDescent="0.25">
      <c r="A118" s="3">
        <v>116</v>
      </c>
      <c r="B118" s="3"/>
      <c r="C118" s="9"/>
      <c r="D118" s="7"/>
      <c r="E118" s="5"/>
      <c r="F118" s="4"/>
      <c r="G118" s="9"/>
      <c r="I118" s="5"/>
      <c r="J118" s="4"/>
      <c r="K118" s="9"/>
      <c r="Y118" s="9"/>
    </row>
    <row r="119" spans="1:25" x14ac:dyDescent="0.25">
      <c r="A119" s="3">
        <v>117</v>
      </c>
      <c r="B119" s="3"/>
      <c r="C119" s="9"/>
      <c r="D119" s="7"/>
      <c r="E119" s="5"/>
      <c r="F119" s="4"/>
      <c r="G119" s="9"/>
      <c r="I119" s="5"/>
      <c r="J119" s="4"/>
      <c r="K119" s="9"/>
      <c r="Y119" s="9"/>
    </row>
    <row r="120" spans="1:25" x14ac:dyDescent="0.25">
      <c r="A120" s="3">
        <v>118</v>
      </c>
      <c r="B120" s="3"/>
      <c r="C120" s="9"/>
      <c r="D120" s="7"/>
      <c r="E120" s="5"/>
      <c r="F120" s="4"/>
      <c r="G120" s="9"/>
      <c r="I120" s="5"/>
      <c r="J120" s="4"/>
      <c r="K120" s="9"/>
      <c r="Y120" s="9"/>
    </row>
    <row r="121" spans="1:25" x14ac:dyDescent="0.25">
      <c r="A121" s="3">
        <v>119</v>
      </c>
      <c r="B121" s="3"/>
      <c r="C121" s="9"/>
      <c r="D121" s="7"/>
      <c r="E121" s="5"/>
      <c r="F121" s="4"/>
      <c r="G121" s="9"/>
      <c r="I121" s="5"/>
      <c r="J121" s="4"/>
      <c r="K121" s="9"/>
      <c r="Y121" s="9"/>
    </row>
    <row r="122" spans="1:25" x14ac:dyDescent="0.25">
      <c r="A122" s="3">
        <v>120</v>
      </c>
      <c r="B122" s="3"/>
      <c r="C122" s="9"/>
      <c r="D122" s="7"/>
      <c r="E122" s="5"/>
      <c r="F122" s="4"/>
      <c r="G122" s="9"/>
      <c r="I122" s="5"/>
      <c r="J122" s="4"/>
      <c r="K122" s="9"/>
      <c r="Y122" s="9"/>
    </row>
    <row r="123" spans="1:25" x14ac:dyDescent="0.25">
      <c r="A123" s="3">
        <v>121</v>
      </c>
      <c r="B123" s="3"/>
      <c r="C123" s="9"/>
      <c r="D123" s="7"/>
      <c r="E123" s="5"/>
      <c r="F123" s="4"/>
      <c r="G123" s="9"/>
      <c r="I123" s="5"/>
      <c r="J123" s="4"/>
      <c r="K123" s="9"/>
      <c r="Y123" s="9"/>
    </row>
    <row r="124" spans="1:25" x14ac:dyDescent="0.25">
      <c r="A124" s="3">
        <v>122</v>
      </c>
      <c r="B124" s="3"/>
      <c r="C124" s="9"/>
      <c r="D124" s="7"/>
      <c r="E124" s="5"/>
      <c r="F124" s="4"/>
      <c r="G124" s="9"/>
      <c r="I124" s="5"/>
      <c r="J124" s="4"/>
      <c r="K124" s="9"/>
      <c r="Y124" s="9"/>
    </row>
    <row r="125" spans="1:25" x14ac:dyDescent="0.25">
      <c r="A125" s="3">
        <v>123</v>
      </c>
      <c r="B125" s="3"/>
      <c r="C125" s="9"/>
      <c r="D125" s="7"/>
      <c r="E125" s="5"/>
      <c r="F125" s="4"/>
      <c r="G125" s="9"/>
      <c r="I125" s="5"/>
      <c r="J125" s="4"/>
      <c r="K125" s="9"/>
      <c r="Y125" s="9"/>
    </row>
    <row r="126" spans="1:25" x14ac:dyDescent="0.25">
      <c r="A126" s="3">
        <v>124</v>
      </c>
      <c r="B126" s="3"/>
      <c r="C126" s="9"/>
      <c r="D126" s="7"/>
      <c r="E126" s="5"/>
      <c r="F126" s="4"/>
      <c r="G126" s="9"/>
      <c r="I126" s="5"/>
      <c r="J126" s="4"/>
      <c r="K126" s="9"/>
      <c r="Y126" s="9"/>
    </row>
    <row r="127" spans="1:25" x14ac:dyDescent="0.25">
      <c r="A127" s="3">
        <v>125</v>
      </c>
      <c r="B127" s="3"/>
      <c r="C127" s="9"/>
      <c r="D127" s="7"/>
      <c r="E127" s="5"/>
      <c r="F127" s="4"/>
      <c r="G127" s="9"/>
      <c r="I127" s="5"/>
      <c r="J127" s="4"/>
      <c r="K127" s="9"/>
      <c r="Y127" s="9"/>
    </row>
    <row r="128" spans="1:25" x14ac:dyDescent="0.25">
      <c r="A128" s="3">
        <v>126</v>
      </c>
      <c r="B128" s="3"/>
      <c r="C128" s="9"/>
      <c r="D128" s="7"/>
      <c r="E128" s="5"/>
      <c r="F128" s="4"/>
      <c r="G128" s="9"/>
      <c r="I128" s="5"/>
      <c r="J128" s="4"/>
      <c r="K128" s="9"/>
      <c r="Y128" s="9"/>
    </row>
    <row r="129" spans="1:25" x14ac:dyDescent="0.25">
      <c r="A129" s="3">
        <v>127</v>
      </c>
      <c r="B129" s="3"/>
      <c r="C129" s="9"/>
      <c r="D129" s="7"/>
      <c r="E129" s="5"/>
      <c r="F129" s="4"/>
      <c r="G129" s="9"/>
      <c r="I129" s="5"/>
      <c r="J129" s="4"/>
      <c r="K129" s="9"/>
      <c r="Y129" s="9"/>
    </row>
    <row r="130" spans="1:25" x14ac:dyDescent="0.25">
      <c r="A130" s="3">
        <v>128</v>
      </c>
      <c r="B130" s="3"/>
      <c r="C130" s="9"/>
      <c r="D130" s="7"/>
      <c r="E130" s="5"/>
      <c r="F130" s="4"/>
      <c r="G130" s="9"/>
      <c r="I130" s="5"/>
      <c r="J130" s="4"/>
      <c r="K130" s="9"/>
      <c r="Y130" s="9"/>
    </row>
    <row r="131" spans="1:25" x14ac:dyDescent="0.25">
      <c r="A131" s="3">
        <v>129</v>
      </c>
      <c r="B131" s="3"/>
      <c r="C131" s="9"/>
      <c r="D131" s="7"/>
      <c r="E131" s="5"/>
      <c r="F131" s="4"/>
      <c r="G131" s="9"/>
      <c r="I131" s="5"/>
      <c r="J131" s="4"/>
      <c r="K131" s="9"/>
      <c r="Y131" s="9"/>
    </row>
    <row r="132" spans="1:25" x14ac:dyDescent="0.25">
      <c r="A132" s="3">
        <v>130</v>
      </c>
      <c r="B132" s="3"/>
      <c r="C132" s="9"/>
      <c r="D132" s="7"/>
      <c r="E132" s="5"/>
      <c r="F132" s="4"/>
      <c r="G132" s="9"/>
      <c r="I132" s="5"/>
      <c r="J132" s="4"/>
      <c r="K132" s="9"/>
      <c r="Y132" s="9"/>
    </row>
    <row r="133" spans="1:25" x14ac:dyDescent="0.25">
      <c r="A133" s="3">
        <v>131</v>
      </c>
      <c r="B133" s="3"/>
      <c r="C133" s="9"/>
      <c r="D133" s="7"/>
      <c r="E133" s="5"/>
      <c r="F133" s="4"/>
      <c r="G133" s="9"/>
      <c r="I133" s="5"/>
      <c r="J133" s="4"/>
      <c r="K133" s="9"/>
      <c r="Y133" s="9"/>
    </row>
    <row r="134" spans="1:25" x14ac:dyDescent="0.25">
      <c r="A134" s="3">
        <v>132</v>
      </c>
      <c r="B134" s="3"/>
      <c r="C134" s="9"/>
      <c r="D134" s="7"/>
      <c r="E134" s="5"/>
      <c r="F134" s="4"/>
      <c r="G134" s="9"/>
      <c r="I134" s="5"/>
      <c r="J134" s="4"/>
      <c r="K134" s="9"/>
      <c r="Y134" s="9"/>
    </row>
    <row r="135" spans="1:25" x14ac:dyDescent="0.25">
      <c r="A135" s="3">
        <v>133</v>
      </c>
      <c r="B135" s="3"/>
      <c r="C135" s="9"/>
      <c r="D135" s="7"/>
      <c r="E135" s="5"/>
      <c r="F135" s="4"/>
      <c r="G135" s="9"/>
      <c r="I135" s="5"/>
      <c r="J135" s="4"/>
      <c r="K135" s="9"/>
      <c r="Y135" s="9"/>
    </row>
    <row r="136" spans="1:25" x14ac:dyDescent="0.25">
      <c r="A136" s="3">
        <v>134</v>
      </c>
      <c r="B136" s="3"/>
      <c r="C136" s="9"/>
      <c r="D136" s="7"/>
      <c r="E136" s="5"/>
      <c r="F136" s="4"/>
      <c r="G136" s="9"/>
      <c r="I136" s="5"/>
      <c r="J136" s="4"/>
      <c r="K136" s="9"/>
      <c r="Y136" s="9"/>
    </row>
    <row r="137" spans="1:25" x14ac:dyDescent="0.25">
      <c r="A137" s="3">
        <v>135</v>
      </c>
      <c r="B137" s="3"/>
      <c r="C137" s="9"/>
      <c r="D137" s="7"/>
      <c r="E137" s="5"/>
      <c r="F137" s="4"/>
      <c r="G137" s="9"/>
      <c r="I137" s="5"/>
      <c r="J137" s="4"/>
      <c r="K137" s="9"/>
      <c r="Y137" s="9"/>
    </row>
    <row r="138" spans="1:25" x14ac:dyDescent="0.25">
      <c r="A138" s="3">
        <v>136</v>
      </c>
      <c r="B138" s="3"/>
      <c r="C138" s="9"/>
      <c r="D138" s="7"/>
      <c r="E138" s="5"/>
      <c r="F138" s="4"/>
      <c r="G138" s="9"/>
      <c r="I138" s="5"/>
      <c r="J138" s="4"/>
      <c r="K138" s="9"/>
      <c r="Y138" s="9"/>
    </row>
    <row r="139" spans="1:25" x14ac:dyDescent="0.25">
      <c r="A139" s="3">
        <v>137</v>
      </c>
      <c r="B139" s="3"/>
      <c r="C139" s="9"/>
      <c r="D139" s="7"/>
      <c r="E139" s="5"/>
      <c r="F139" s="4"/>
      <c r="G139" s="9"/>
      <c r="I139" s="5"/>
      <c r="J139" s="4"/>
      <c r="K139" s="9"/>
      <c r="Y139" s="9"/>
    </row>
    <row r="140" spans="1:25" x14ac:dyDescent="0.25">
      <c r="A140" s="3">
        <v>138</v>
      </c>
      <c r="B140" s="3"/>
      <c r="C140" s="9"/>
      <c r="D140" s="7"/>
      <c r="E140" s="5"/>
      <c r="F140" s="4"/>
      <c r="G140" s="9"/>
      <c r="I140" s="5"/>
      <c r="J140" s="4"/>
      <c r="K140" s="9"/>
      <c r="Y140" s="9"/>
    </row>
    <row r="141" spans="1:25" x14ac:dyDescent="0.25">
      <c r="A141" s="3">
        <v>139</v>
      </c>
      <c r="B141" s="3"/>
      <c r="C141" s="9"/>
      <c r="D141" s="7"/>
      <c r="E141" s="5"/>
      <c r="F141" s="4"/>
      <c r="G141" s="9"/>
      <c r="I141" s="5"/>
      <c r="J141" s="4"/>
      <c r="K141" s="9"/>
      <c r="Y141" s="9"/>
    </row>
    <row r="142" spans="1:25" x14ac:dyDescent="0.25">
      <c r="A142" s="3">
        <v>140</v>
      </c>
      <c r="B142" s="3"/>
      <c r="C142" s="9"/>
      <c r="D142" s="7"/>
      <c r="E142" s="5"/>
      <c r="F142" s="4"/>
      <c r="G142" s="9"/>
      <c r="I142" s="5"/>
      <c r="J142" s="4"/>
      <c r="K142" s="9"/>
      <c r="Y142" s="9"/>
    </row>
    <row r="143" spans="1:25" x14ac:dyDescent="0.25">
      <c r="A143" s="3">
        <v>141</v>
      </c>
      <c r="B143" s="3"/>
      <c r="C143" s="9"/>
      <c r="D143" s="7"/>
      <c r="E143" s="5"/>
      <c r="F143" s="4"/>
      <c r="G143" s="9"/>
      <c r="I143" s="5"/>
      <c r="J143" s="4"/>
      <c r="K143" s="9"/>
      <c r="Y143" s="9"/>
    </row>
    <row r="144" spans="1:25" x14ac:dyDescent="0.25">
      <c r="A144" s="3">
        <v>142</v>
      </c>
      <c r="B144" s="3"/>
      <c r="C144" s="9"/>
      <c r="D144" s="7"/>
      <c r="E144" s="5"/>
      <c r="F144" s="4"/>
      <c r="G144" s="9"/>
      <c r="I144" s="5"/>
      <c r="J144" s="4"/>
      <c r="K144" s="9"/>
      <c r="Y144" s="9"/>
    </row>
    <row r="145" spans="1:25" x14ac:dyDescent="0.25">
      <c r="A145" s="3">
        <v>143</v>
      </c>
      <c r="B145" s="3"/>
      <c r="C145" s="9"/>
      <c r="D145" s="7"/>
      <c r="E145" s="5"/>
      <c r="F145" s="4"/>
      <c r="G145" s="9"/>
      <c r="I145" s="5"/>
      <c r="J145" s="4"/>
      <c r="K145" s="9"/>
      <c r="Y145" s="9"/>
    </row>
    <row r="146" spans="1:25" x14ac:dyDescent="0.25">
      <c r="A146" s="3">
        <v>144</v>
      </c>
      <c r="B146" s="3"/>
      <c r="C146" s="9"/>
      <c r="D146" s="7"/>
      <c r="E146" s="5"/>
      <c r="F146" s="4"/>
      <c r="G146" s="9"/>
      <c r="I146" s="5"/>
      <c r="J146" s="4"/>
      <c r="K146" s="9"/>
      <c r="Y146" s="9"/>
    </row>
    <row r="147" spans="1:25" x14ac:dyDescent="0.25">
      <c r="A147" s="3">
        <v>145</v>
      </c>
      <c r="B147" s="3"/>
      <c r="C147" s="9"/>
      <c r="D147" s="7"/>
      <c r="E147" s="5"/>
      <c r="F147" s="4"/>
      <c r="G147" s="9"/>
      <c r="I147" s="5"/>
      <c r="J147" s="4"/>
      <c r="K147" s="9"/>
      <c r="Y147" s="9"/>
    </row>
    <row r="148" spans="1:25" x14ac:dyDescent="0.25">
      <c r="A148" s="3">
        <v>146</v>
      </c>
      <c r="B148" s="3"/>
      <c r="C148" s="9"/>
      <c r="D148" s="7"/>
      <c r="E148" s="5"/>
      <c r="F148" s="4"/>
      <c r="G148" s="9"/>
      <c r="I148" s="5"/>
      <c r="J148" s="4"/>
      <c r="K148" s="9"/>
      <c r="Y148" s="9"/>
    </row>
    <row r="149" spans="1:25" x14ac:dyDescent="0.25">
      <c r="A149" s="3">
        <v>147</v>
      </c>
      <c r="B149" s="3"/>
      <c r="C149" s="9"/>
      <c r="D149" s="7"/>
      <c r="E149" s="5"/>
      <c r="F149" s="4"/>
      <c r="G149" s="9"/>
      <c r="I149" s="5"/>
      <c r="J149" s="4"/>
      <c r="K149" s="9"/>
      <c r="Y149" s="9"/>
    </row>
    <row r="150" spans="1:25" x14ac:dyDescent="0.25">
      <c r="A150" s="3">
        <v>148</v>
      </c>
      <c r="B150" s="3"/>
      <c r="C150" s="9"/>
      <c r="D150" s="7"/>
      <c r="E150" s="5"/>
      <c r="F150" s="4"/>
      <c r="G150" s="9"/>
      <c r="I150" s="5"/>
      <c r="J150" s="4"/>
      <c r="K150" s="9"/>
      <c r="Y150" s="9"/>
    </row>
    <row r="151" spans="1:25" x14ac:dyDescent="0.25">
      <c r="A151" s="3">
        <v>149</v>
      </c>
      <c r="B151" s="3"/>
      <c r="C151" s="9"/>
      <c r="D151" s="7"/>
      <c r="E151" s="5"/>
      <c r="F151" s="4"/>
      <c r="G151" s="9"/>
      <c r="I151" s="5"/>
      <c r="J151" s="4"/>
      <c r="K151" s="9"/>
      <c r="Y151" s="9"/>
    </row>
    <row r="152" spans="1:25" x14ac:dyDescent="0.25">
      <c r="A152" s="3">
        <v>150</v>
      </c>
      <c r="B152" s="3"/>
      <c r="C152" s="9"/>
      <c r="D152" s="7"/>
      <c r="E152" s="5"/>
      <c r="F152" s="4"/>
      <c r="G152" s="9"/>
      <c r="I152" s="5"/>
      <c r="J152" s="4"/>
      <c r="K152" s="9"/>
      <c r="Y152" s="9"/>
    </row>
    <row r="153" spans="1:25" x14ac:dyDescent="0.25">
      <c r="A153" s="3">
        <v>151</v>
      </c>
      <c r="B153" s="3"/>
      <c r="C153" s="9"/>
      <c r="D153" s="7"/>
      <c r="E153" s="5"/>
      <c r="F153" s="4"/>
      <c r="G153" s="9"/>
      <c r="I153" s="5"/>
      <c r="J153" s="4"/>
      <c r="K153" s="9"/>
      <c r="Y153" s="9"/>
    </row>
    <row r="154" spans="1:25" x14ac:dyDescent="0.25">
      <c r="A154" s="3">
        <v>152</v>
      </c>
      <c r="B154" s="3"/>
      <c r="C154" s="9"/>
      <c r="D154" s="7"/>
      <c r="E154" s="5"/>
      <c r="F154" s="4"/>
      <c r="G154" s="9"/>
      <c r="I154" s="5"/>
      <c r="J154" s="4"/>
      <c r="K154" s="9"/>
      <c r="Y154" s="9"/>
    </row>
    <row r="155" spans="1:25" x14ac:dyDescent="0.25">
      <c r="A155" s="3">
        <v>153</v>
      </c>
      <c r="B155" s="3"/>
      <c r="C155" s="9"/>
      <c r="D155" s="7"/>
      <c r="E155" s="5"/>
      <c r="F155" s="4"/>
      <c r="G155" s="9"/>
      <c r="I155" s="5"/>
      <c r="J155" s="4"/>
      <c r="K155" s="9"/>
      <c r="Y155" s="9"/>
    </row>
    <row r="156" spans="1:25" x14ac:dyDescent="0.25">
      <c r="A156" s="3">
        <v>154</v>
      </c>
      <c r="B156" s="3"/>
      <c r="C156" s="9"/>
      <c r="D156" s="7"/>
      <c r="E156" s="5"/>
      <c r="F156" s="4"/>
      <c r="G156" s="9"/>
      <c r="I156" s="5"/>
      <c r="J156" s="4"/>
      <c r="K156" s="9"/>
      <c r="Y156" s="9"/>
    </row>
    <row r="157" spans="1:25" x14ac:dyDescent="0.25">
      <c r="A157" s="3">
        <v>155</v>
      </c>
      <c r="B157" s="3"/>
      <c r="C157" s="9"/>
      <c r="D157" s="7"/>
      <c r="E157" s="5"/>
      <c r="F157" s="4"/>
      <c r="G157" s="9"/>
      <c r="I157" s="5"/>
      <c r="J157" s="4"/>
      <c r="K157" s="9"/>
      <c r="Y157" s="9"/>
    </row>
    <row r="158" spans="1:25" x14ac:dyDescent="0.25">
      <c r="A158" s="3">
        <v>156</v>
      </c>
      <c r="B158" s="3"/>
      <c r="C158" s="9"/>
      <c r="D158" s="7"/>
      <c r="E158" s="5"/>
      <c r="F158" s="4"/>
      <c r="G158" s="9"/>
      <c r="I158" s="5"/>
      <c r="J158" s="4"/>
      <c r="K158" s="9"/>
      <c r="Y158" s="9"/>
    </row>
    <row r="159" spans="1:25" x14ac:dyDescent="0.25">
      <c r="A159" s="3">
        <v>157</v>
      </c>
      <c r="B159" s="3"/>
      <c r="C159" s="9"/>
      <c r="D159" s="7"/>
      <c r="E159" s="5"/>
      <c r="F159" s="4"/>
      <c r="G159" s="9"/>
      <c r="I159" s="5"/>
      <c r="J159" s="4"/>
      <c r="K159" s="9"/>
      <c r="Y159" s="9"/>
    </row>
    <row r="160" spans="1:25" x14ac:dyDescent="0.25">
      <c r="A160" s="3">
        <v>158</v>
      </c>
      <c r="B160" s="3"/>
      <c r="C160" s="9"/>
      <c r="D160" s="7"/>
      <c r="E160" s="5"/>
      <c r="F160" s="4"/>
      <c r="G160" s="9"/>
      <c r="I160" s="5"/>
      <c r="J160" s="4"/>
      <c r="K160" s="9"/>
      <c r="Y160" s="9"/>
    </row>
    <row r="161" spans="1:25" x14ac:dyDescent="0.25">
      <c r="A161" s="3">
        <v>159</v>
      </c>
      <c r="B161" s="3"/>
      <c r="C161" s="9"/>
      <c r="D161" s="7"/>
      <c r="E161" s="5"/>
      <c r="F161" s="4"/>
      <c r="G161" s="9"/>
      <c r="I161" s="5"/>
      <c r="J161" s="4"/>
      <c r="K161" s="9"/>
      <c r="Y161" s="9"/>
    </row>
    <row r="162" spans="1:25" x14ac:dyDescent="0.25">
      <c r="A162" s="3">
        <v>160</v>
      </c>
      <c r="B162" s="3"/>
      <c r="C162" s="9"/>
      <c r="D162" s="7"/>
      <c r="E162" s="5"/>
      <c r="F162" s="4"/>
      <c r="G162" s="9"/>
      <c r="I162" s="5"/>
      <c r="J162" s="4"/>
      <c r="K162" s="9"/>
      <c r="Y162" s="9"/>
    </row>
    <row r="163" spans="1:25" x14ac:dyDescent="0.25">
      <c r="A163" s="3">
        <v>161</v>
      </c>
      <c r="B163" s="3"/>
      <c r="C163" s="9"/>
      <c r="D163" s="7"/>
      <c r="E163" s="5"/>
      <c r="F163" s="4"/>
      <c r="G163" s="9"/>
      <c r="I163" s="5"/>
      <c r="J163" s="4"/>
      <c r="K163" s="9"/>
      <c r="Y163" s="9"/>
    </row>
    <row r="164" spans="1:25" x14ac:dyDescent="0.25">
      <c r="A164" s="3">
        <v>162</v>
      </c>
      <c r="B164" s="3"/>
      <c r="C164" s="9"/>
      <c r="D164" s="7"/>
      <c r="E164" s="5"/>
      <c r="F164" s="4"/>
      <c r="G164" s="9"/>
      <c r="I164" s="5"/>
      <c r="J164" s="4"/>
      <c r="K164" s="9"/>
      <c r="Y164" s="9"/>
    </row>
    <row r="165" spans="1:25" x14ac:dyDescent="0.25">
      <c r="A165" s="3">
        <v>163</v>
      </c>
      <c r="B165" s="3"/>
      <c r="C165" s="9"/>
      <c r="D165" s="7"/>
      <c r="E165" s="5"/>
      <c r="F165" s="4"/>
      <c r="G165" s="9"/>
      <c r="I165" s="5"/>
      <c r="J165" s="4"/>
      <c r="K165" s="9"/>
      <c r="Y165" s="9"/>
    </row>
    <row r="166" spans="1:25" x14ac:dyDescent="0.25">
      <c r="A166" s="3">
        <v>164</v>
      </c>
      <c r="B166" s="3"/>
      <c r="C166" s="9"/>
      <c r="D166" s="7"/>
      <c r="E166" s="5"/>
      <c r="F166" s="4"/>
      <c r="G166" s="9"/>
      <c r="I166" s="5"/>
      <c r="J166" s="4"/>
      <c r="K166" s="9"/>
      <c r="Y166" s="9"/>
    </row>
    <row r="167" spans="1:25" x14ac:dyDescent="0.25">
      <c r="A167" s="3">
        <v>165</v>
      </c>
      <c r="B167" s="3"/>
      <c r="C167" s="9"/>
      <c r="D167" s="7"/>
      <c r="E167" s="5"/>
      <c r="F167" s="4"/>
      <c r="G167" s="9"/>
      <c r="I167" s="5"/>
      <c r="J167" s="4"/>
      <c r="K167" s="9"/>
      <c r="Y167" s="9"/>
    </row>
    <row r="168" spans="1:25" x14ac:dyDescent="0.25">
      <c r="A168" s="3">
        <v>166</v>
      </c>
      <c r="B168" s="3"/>
      <c r="C168" s="9"/>
      <c r="D168" s="7"/>
      <c r="E168" s="5"/>
      <c r="F168" s="4"/>
      <c r="G168" s="9"/>
      <c r="I168" s="5"/>
      <c r="J168" s="4"/>
      <c r="K168" s="9"/>
      <c r="Y168" s="9"/>
    </row>
    <row r="169" spans="1:25" x14ac:dyDescent="0.25">
      <c r="A169" s="3">
        <v>167</v>
      </c>
      <c r="B169" s="3"/>
      <c r="C169" s="9"/>
      <c r="D169" s="7"/>
      <c r="E169" s="5"/>
      <c r="F169" s="4"/>
      <c r="G169" s="9"/>
      <c r="I169" s="5"/>
      <c r="J169" s="4"/>
      <c r="K169" s="9"/>
      <c r="Y169" s="9"/>
    </row>
    <row r="170" spans="1:25" x14ac:dyDescent="0.25">
      <c r="A170" s="3">
        <v>168</v>
      </c>
      <c r="B170" s="3"/>
      <c r="C170" s="9"/>
      <c r="D170" s="7"/>
      <c r="E170" s="5"/>
      <c r="F170" s="4"/>
      <c r="G170" s="9"/>
      <c r="I170" s="5"/>
      <c r="J170" s="4"/>
      <c r="K170" s="9"/>
      <c r="Y170" s="9"/>
    </row>
    <row r="171" spans="1:25" x14ac:dyDescent="0.25">
      <c r="A171" s="3">
        <v>169</v>
      </c>
      <c r="B171" s="3"/>
      <c r="C171" s="9"/>
      <c r="D171" s="7"/>
      <c r="E171" s="5"/>
      <c r="F171" s="4"/>
      <c r="G171" s="9"/>
      <c r="I171" s="5"/>
      <c r="J171" s="4"/>
      <c r="K171" s="9"/>
      <c r="Y171" s="9"/>
    </row>
    <row r="172" spans="1:25" x14ac:dyDescent="0.25">
      <c r="A172" s="3">
        <v>170</v>
      </c>
      <c r="B172" s="3"/>
      <c r="C172" s="9"/>
      <c r="D172" s="7"/>
      <c r="E172" s="5"/>
      <c r="F172" s="4"/>
      <c r="G172" s="9"/>
      <c r="I172" s="5"/>
      <c r="J172" s="4"/>
      <c r="K172" s="9"/>
      <c r="Y172" s="9"/>
    </row>
    <row r="173" spans="1:25" x14ac:dyDescent="0.25">
      <c r="A173" s="3">
        <v>171</v>
      </c>
      <c r="B173" s="3"/>
      <c r="C173" s="9"/>
      <c r="D173" s="7"/>
      <c r="E173" s="5"/>
      <c r="F173" s="4"/>
      <c r="G173" s="9"/>
      <c r="I173" s="5"/>
      <c r="J173" s="4"/>
      <c r="K173" s="9"/>
      <c r="Y173" s="9"/>
    </row>
    <row r="174" spans="1:25" x14ac:dyDescent="0.25">
      <c r="A174" s="3">
        <v>172</v>
      </c>
      <c r="B174" s="3"/>
      <c r="C174" s="9"/>
      <c r="D174" s="7"/>
      <c r="E174" s="5"/>
      <c r="F174" s="4"/>
      <c r="G174" s="9"/>
      <c r="I174" s="5"/>
      <c r="J174" s="4"/>
      <c r="K174" s="9"/>
      <c r="Y174" s="9"/>
    </row>
    <row r="175" spans="1:25" x14ac:dyDescent="0.25">
      <c r="A175" s="3">
        <v>173</v>
      </c>
      <c r="B175" s="3"/>
      <c r="C175" s="9"/>
      <c r="D175" s="7"/>
      <c r="E175" s="5"/>
      <c r="F175" s="4"/>
      <c r="G175" s="9"/>
      <c r="I175" s="5"/>
      <c r="J175" s="4"/>
      <c r="K175" s="9"/>
      <c r="Y175" s="9"/>
    </row>
    <row r="176" spans="1:25" x14ac:dyDescent="0.25">
      <c r="A176" s="3">
        <v>174</v>
      </c>
      <c r="B176" s="3"/>
      <c r="C176" s="9"/>
      <c r="D176" s="7"/>
      <c r="E176" s="5"/>
      <c r="F176" s="4"/>
      <c r="G176" s="9"/>
      <c r="I176" s="5"/>
      <c r="J176" s="4"/>
      <c r="K176" s="9"/>
      <c r="Y176" s="9"/>
    </row>
    <row r="177" spans="1:25" x14ac:dyDescent="0.25">
      <c r="A177" s="3">
        <v>175</v>
      </c>
      <c r="B177" s="3"/>
      <c r="C177" s="9"/>
      <c r="D177" s="7"/>
      <c r="E177" s="5"/>
      <c r="F177" s="4"/>
      <c r="G177" s="9"/>
      <c r="I177" s="5"/>
      <c r="J177" s="4"/>
      <c r="K177" s="9"/>
      <c r="Y177" s="9"/>
    </row>
    <row r="178" spans="1:25" x14ac:dyDescent="0.25">
      <c r="A178" s="3">
        <v>176</v>
      </c>
      <c r="B178" s="3"/>
      <c r="C178" s="9"/>
      <c r="D178" s="7"/>
      <c r="E178" s="5"/>
      <c r="F178" s="4"/>
      <c r="G178" s="9"/>
      <c r="I178" s="5"/>
      <c r="J178" s="4"/>
      <c r="K178" s="9"/>
      <c r="Y178" s="9"/>
    </row>
    <row r="179" spans="1:25" x14ac:dyDescent="0.25">
      <c r="A179" s="3">
        <v>177</v>
      </c>
      <c r="B179" s="3"/>
      <c r="C179" s="9"/>
      <c r="D179" s="7"/>
      <c r="E179" s="5"/>
      <c r="F179" s="4"/>
      <c r="G179" s="9"/>
      <c r="I179" s="5"/>
      <c r="J179" s="4"/>
      <c r="K179" s="9"/>
      <c r="Y179" s="9"/>
    </row>
    <row r="180" spans="1:25" x14ac:dyDescent="0.25">
      <c r="A180" s="3">
        <v>178</v>
      </c>
      <c r="B180" s="3"/>
      <c r="C180" s="9"/>
      <c r="D180" s="7"/>
      <c r="E180" s="5"/>
      <c r="F180" s="4"/>
      <c r="G180" s="9"/>
      <c r="I180" s="5"/>
      <c r="J180" s="4"/>
      <c r="K180" s="9"/>
      <c r="Y180" s="9"/>
    </row>
    <row r="181" spans="1:25" x14ac:dyDescent="0.25">
      <c r="A181" s="3">
        <v>179</v>
      </c>
      <c r="B181" s="3"/>
      <c r="C181" s="9"/>
      <c r="D181" s="7"/>
      <c r="E181" s="5"/>
      <c r="F181" s="4"/>
      <c r="G181" s="9"/>
      <c r="I181" s="5"/>
      <c r="J181" s="4"/>
      <c r="K181" s="9"/>
      <c r="Y181" s="9"/>
    </row>
    <row r="182" spans="1:25" x14ac:dyDescent="0.25">
      <c r="A182" s="3">
        <v>180</v>
      </c>
      <c r="B182" s="3"/>
      <c r="C182" s="9"/>
      <c r="D182" s="7"/>
      <c r="E182" s="5"/>
      <c r="F182" s="4"/>
      <c r="G182" s="9"/>
      <c r="I182" s="5"/>
      <c r="J182" s="4"/>
      <c r="K182" s="9"/>
      <c r="Y182" s="9"/>
    </row>
    <row r="183" spans="1:25" x14ac:dyDescent="0.25">
      <c r="A183" s="3">
        <v>181</v>
      </c>
      <c r="B183" s="3"/>
      <c r="C183" s="9"/>
      <c r="D183" s="7"/>
      <c r="E183" s="5"/>
      <c r="F183" s="4"/>
      <c r="G183" s="9"/>
      <c r="I183" s="5"/>
      <c r="J183" s="4"/>
      <c r="K183" s="9"/>
      <c r="Y183" s="9"/>
    </row>
    <row r="184" spans="1:25" x14ac:dyDescent="0.25">
      <c r="A184" s="3">
        <v>182</v>
      </c>
      <c r="B184" s="3"/>
      <c r="C184" s="9"/>
      <c r="D184" s="7"/>
      <c r="E184" s="5"/>
      <c r="F184" s="4"/>
      <c r="G184" s="9"/>
      <c r="I184" s="5"/>
      <c r="J184" s="4"/>
      <c r="K184" s="9"/>
      <c r="Y184" s="9"/>
    </row>
    <row r="185" spans="1:25" x14ac:dyDescent="0.25">
      <c r="A185" s="3">
        <v>183</v>
      </c>
      <c r="B185" s="3"/>
      <c r="C185" s="9"/>
      <c r="D185" s="7"/>
      <c r="E185" s="5"/>
      <c r="F185" s="4"/>
      <c r="G185" s="9"/>
      <c r="I185" s="5"/>
      <c r="J185" s="4"/>
      <c r="K185" s="9"/>
      <c r="Y185" s="9"/>
    </row>
    <row r="186" spans="1:25" x14ac:dyDescent="0.25">
      <c r="A186" s="3">
        <v>184</v>
      </c>
      <c r="B186" s="3"/>
      <c r="C186" s="9"/>
      <c r="D186" s="7"/>
      <c r="E186" s="5"/>
      <c r="F186" s="4"/>
      <c r="G186" s="9"/>
      <c r="I186" s="5"/>
      <c r="J186" s="4"/>
      <c r="K186" s="9"/>
      <c r="Y186" s="9"/>
    </row>
    <row r="187" spans="1:25" x14ac:dyDescent="0.25">
      <c r="A187" s="3">
        <v>185</v>
      </c>
      <c r="B187" s="3"/>
      <c r="C187" s="9"/>
      <c r="D187" s="7"/>
      <c r="E187" s="5"/>
      <c r="F187" s="4"/>
      <c r="G187" s="9"/>
      <c r="I187" s="5"/>
      <c r="J187" s="4"/>
      <c r="K187" s="9"/>
      <c r="Y187" s="9"/>
    </row>
    <row r="188" spans="1:25" x14ac:dyDescent="0.25">
      <c r="A188" s="3">
        <v>186</v>
      </c>
      <c r="B188" s="3"/>
      <c r="C188" s="9"/>
      <c r="D188" s="7"/>
      <c r="E188" s="5"/>
      <c r="F188" s="4"/>
      <c r="G188" s="9"/>
      <c r="I188" s="5"/>
      <c r="J188" s="4"/>
      <c r="K188" s="9"/>
      <c r="Y188" s="9"/>
    </row>
    <row r="189" spans="1:25" x14ac:dyDescent="0.25">
      <c r="A189" s="3">
        <v>187</v>
      </c>
      <c r="B189" s="3"/>
      <c r="C189" s="9"/>
      <c r="D189" s="7"/>
      <c r="E189" s="5"/>
      <c r="F189" s="4"/>
      <c r="G189" s="9"/>
      <c r="I189" s="5"/>
      <c r="J189" s="4"/>
      <c r="K189" s="9"/>
      <c r="Y189" s="9"/>
    </row>
    <row r="190" spans="1:25" x14ac:dyDescent="0.25">
      <c r="A190" s="3">
        <v>188</v>
      </c>
      <c r="B190" s="3"/>
      <c r="C190" s="9"/>
      <c r="D190" s="7"/>
      <c r="E190" s="5"/>
      <c r="F190" s="4"/>
      <c r="G190" s="9"/>
      <c r="I190" s="5"/>
      <c r="J190" s="4"/>
      <c r="K190" s="9"/>
      <c r="Y190" s="9"/>
    </row>
    <row r="191" spans="1:25" x14ac:dyDescent="0.25">
      <c r="A191" s="3">
        <v>189</v>
      </c>
      <c r="B191" s="3"/>
      <c r="C191" s="9"/>
      <c r="D191" s="7"/>
      <c r="E191" s="5"/>
      <c r="F191" s="4"/>
      <c r="G191" s="9"/>
      <c r="I191" s="5"/>
      <c r="J191" s="4"/>
      <c r="K191" s="9"/>
      <c r="Y191" s="9"/>
    </row>
    <row r="192" spans="1:25" x14ac:dyDescent="0.25">
      <c r="A192" s="3">
        <v>190</v>
      </c>
      <c r="B192" s="3"/>
      <c r="C192" s="9"/>
      <c r="D192" s="7"/>
      <c r="E192" s="5"/>
      <c r="F192" s="4"/>
      <c r="G192" s="9"/>
      <c r="I192" s="5"/>
      <c r="J192" s="4"/>
      <c r="K192" s="9"/>
      <c r="Y192" s="9"/>
    </row>
    <row r="193" spans="1:25" x14ac:dyDescent="0.25">
      <c r="A193" s="3">
        <v>191</v>
      </c>
      <c r="B193" s="3"/>
      <c r="C193" s="9"/>
      <c r="D193" s="7"/>
      <c r="E193" s="5"/>
      <c r="F193" s="4"/>
      <c r="G193" s="9"/>
      <c r="I193" s="5"/>
      <c r="J193" s="4"/>
      <c r="K193" s="9"/>
      <c r="Y193" s="9"/>
    </row>
    <row r="194" spans="1:25" x14ac:dyDescent="0.25">
      <c r="A194" s="3">
        <v>192</v>
      </c>
      <c r="B194" s="3"/>
      <c r="C194" s="9"/>
      <c r="D194" s="7"/>
      <c r="E194" s="5"/>
      <c r="F194" s="4"/>
      <c r="G194" s="9"/>
      <c r="I194" s="5"/>
      <c r="J194" s="4"/>
      <c r="K194" s="9"/>
      <c r="Y194" s="9"/>
    </row>
    <row r="195" spans="1:25" x14ac:dyDescent="0.25">
      <c r="A195" s="3">
        <v>193</v>
      </c>
      <c r="B195" s="3"/>
      <c r="C195" s="9"/>
      <c r="D195" s="7"/>
      <c r="E195" s="5"/>
      <c r="F195" s="4"/>
      <c r="G195" s="9"/>
      <c r="I195" s="5"/>
      <c r="J195" s="4"/>
      <c r="K195" s="9"/>
      <c r="Y195" s="9"/>
    </row>
    <row r="196" spans="1:25" x14ac:dyDescent="0.25">
      <c r="A196" s="3">
        <v>194</v>
      </c>
      <c r="B196" s="3"/>
      <c r="C196" s="9"/>
      <c r="D196" s="7"/>
      <c r="E196" s="5"/>
      <c r="F196" s="4"/>
      <c r="G196" s="9"/>
      <c r="I196" s="5"/>
      <c r="J196" s="4"/>
      <c r="K196" s="9"/>
      <c r="Y196" s="9"/>
    </row>
    <row r="197" spans="1:25" x14ac:dyDescent="0.25">
      <c r="A197" s="3">
        <v>195</v>
      </c>
      <c r="B197" s="3"/>
      <c r="C197" s="9"/>
      <c r="D197" s="7"/>
      <c r="E197" s="5"/>
      <c r="F197" s="4"/>
      <c r="G197" s="9"/>
      <c r="I197" s="5"/>
      <c r="J197" s="4"/>
      <c r="K197" s="9"/>
      <c r="Y197" s="9"/>
    </row>
    <row r="198" spans="1:25" x14ac:dyDescent="0.25">
      <c r="A198" s="3">
        <v>196</v>
      </c>
      <c r="B198" s="3"/>
      <c r="C198" s="9"/>
      <c r="D198" s="7"/>
      <c r="E198" s="5"/>
      <c r="F198" s="4"/>
      <c r="G198" s="9"/>
      <c r="I198" s="5"/>
      <c r="J198" s="4"/>
      <c r="K198" s="9"/>
      <c r="Y198" s="9"/>
    </row>
    <row r="199" spans="1:25" x14ac:dyDescent="0.25">
      <c r="A199" s="3">
        <v>197</v>
      </c>
      <c r="B199" s="3"/>
      <c r="C199" s="9"/>
      <c r="D199" s="7"/>
      <c r="E199" s="5"/>
      <c r="F199" s="4"/>
      <c r="G199" s="9"/>
      <c r="I199" s="5"/>
      <c r="J199" s="4"/>
      <c r="K199" s="9"/>
      <c r="Y199" s="9"/>
    </row>
    <row r="200" spans="1:25" x14ac:dyDescent="0.25">
      <c r="A200" s="3">
        <v>198</v>
      </c>
      <c r="B200" s="3"/>
      <c r="C200" s="9"/>
      <c r="D200" s="7"/>
      <c r="E200" s="5"/>
      <c r="F200" s="4"/>
      <c r="G200" s="9"/>
      <c r="I200" s="5"/>
      <c r="J200" s="4"/>
      <c r="K200" s="9"/>
      <c r="Y200" s="9"/>
    </row>
    <row r="201" spans="1:25" x14ac:dyDescent="0.25">
      <c r="A201" s="3">
        <v>199</v>
      </c>
      <c r="B201" s="3"/>
      <c r="C201" s="9"/>
      <c r="D201" s="7"/>
      <c r="E201" s="5"/>
      <c r="F201" s="4"/>
      <c r="G201" s="9"/>
      <c r="I201" s="5"/>
      <c r="J201" s="4"/>
      <c r="K201" s="9"/>
      <c r="Y201" s="9"/>
    </row>
    <row r="202" spans="1:25" x14ac:dyDescent="0.25">
      <c r="A202" s="3">
        <v>200</v>
      </c>
      <c r="B202" s="3"/>
      <c r="C202" s="9"/>
      <c r="D202" s="7"/>
      <c r="E202" s="5"/>
      <c r="F202" s="4"/>
      <c r="G202" s="9"/>
      <c r="I202" s="5"/>
      <c r="J202" s="4"/>
      <c r="K202" s="9"/>
      <c r="Y202" s="9"/>
    </row>
    <row r="203" spans="1:25" x14ac:dyDescent="0.25">
      <c r="A203" s="3">
        <v>201</v>
      </c>
      <c r="B203" s="3"/>
      <c r="C203" s="9"/>
      <c r="D203" s="7"/>
      <c r="E203" s="5"/>
      <c r="F203" s="4"/>
      <c r="G203" s="9"/>
      <c r="I203" s="5"/>
      <c r="J203" s="4"/>
      <c r="K203" s="9"/>
      <c r="Y203" s="9"/>
    </row>
    <row r="204" spans="1:25" x14ac:dyDescent="0.25">
      <c r="A204" s="3">
        <v>202</v>
      </c>
      <c r="B204" s="3"/>
      <c r="C204" s="9"/>
      <c r="D204" s="7"/>
      <c r="E204" s="5"/>
      <c r="F204" s="4"/>
      <c r="G204" s="9"/>
      <c r="I204" s="5"/>
      <c r="J204" s="4"/>
      <c r="K204" s="9"/>
      <c r="Y204" s="9"/>
    </row>
    <row r="205" spans="1:25" x14ac:dyDescent="0.25">
      <c r="A205" s="3">
        <v>203</v>
      </c>
      <c r="B205" s="3"/>
      <c r="C205" s="9"/>
      <c r="D205" s="7"/>
      <c r="E205" s="5"/>
      <c r="F205" s="4"/>
      <c r="G205" s="9"/>
      <c r="I205" s="5"/>
      <c r="J205" s="4"/>
      <c r="K205" s="9"/>
      <c r="Y205" s="9"/>
    </row>
    <row r="206" spans="1:25" x14ac:dyDescent="0.25">
      <c r="A206" s="3">
        <v>204</v>
      </c>
      <c r="B206" s="3"/>
      <c r="C206" s="9"/>
      <c r="D206" s="7"/>
      <c r="E206" s="5"/>
      <c r="F206" s="4"/>
      <c r="G206" s="9"/>
      <c r="I206" s="5"/>
      <c r="J206" s="4"/>
      <c r="K206" s="9"/>
      <c r="Y206" s="9"/>
    </row>
    <row r="207" spans="1:25" x14ac:dyDescent="0.25">
      <c r="A207" s="3">
        <v>205</v>
      </c>
      <c r="B207" s="3"/>
      <c r="C207" s="9"/>
      <c r="D207" s="7"/>
      <c r="E207" s="5"/>
      <c r="F207" s="4"/>
      <c r="G207" s="9"/>
      <c r="I207" s="5"/>
      <c r="J207" s="4"/>
      <c r="K207" s="9"/>
      <c r="Y207" s="9"/>
    </row>
    <row r="208" spans="1:25" x14ac:dyDescent="0.25">
      <c r="A208" s="3">
        <v>206</v>
      </c>
      <c r="B208" s="3"/>
      <c r="C208" s="9"/>
      <c r="D208" s="7"/>
      <c r="E208" s="5"/>
      <c r="F208" s="4"/>
      <c r="G208" s="9"/>
      <c r="I208" s="5"/>
      <c r="J208" s="4"/>
      <c r="K208" s="9"/>
      <c r="Y208" s="9"/>
    </row>
    <row r="209" spans="1:25" x14ac:dyDescent="0.25">
      <c r="A209" s="3">
        <v>207</v>
      </c>
      <c r="B209" s="3"/>
      <c r="C209" s="9"/>
      <c r="D209" s="7"/>
      <c r="E209" s="5"/>
      <c r="F209" s="4"/>
      <c r="G209" s="9"/>
      <c r="I209" s="5"/>
      <c r="J209" s="4"/>
      <c r="K209" s="9"/>
      <c r="Y209" s="9"/>
    </row>
    <row r="210" spans="1:25" x14ac:dyDescent="0.25">
      <c r="A210" s="3">
        <v>208</v>
      </c>
      <c r="B210" s="3"/>
      <c r="C210" s="9"/>
      <c r="D210" s="7"/>
      <c r="E210" s="5"/>
      <c r="F210" s="4"/>
      <c r="G210" s="9"/>
      <c r="I210" s="5"/>
      <c r="J210" s="4"/>
      <c r="K210" s="9"/>
      <c r="Y210" s="9"/>
    </row>
    <row r="211" spans="1:25" x14ac:dyDescent="0.25">
      <c r="A211" s="3">
        <v>209</v>
      </c>
      <c r="B211" s="3"/>
      <c r="C211" s="9"/>
      <c r="D211" s="7"/>
      <c r="E211" s="5"/>
      <c r="F211" s="4"/>
      <c r="G211" s="9"/>
      <c r="I211" s="5"/>
      <c r="J211" s="4"/>
      <c r="K211" s="9"/>
      <c r="Y211" s="9"/>
    </row>
    <row r="212" spans="1:25" x14ac:dyDescent="0.25">
      <c r="A212" s="3">
        <v>210</v>
      </c>
      <c r="B212" s="3"/>
      <c r="C212" s="9"/>
      <c r="D212" s="7"/>
      <c r="E212" s="5"/>
      <c r="F212" s="4"/>
      <c r="G212" s="9"/>
      <c r="I212" s="5"/>
      <c r="J212" s="4"/>
      <c r="K212" s="9"/>
      <c r="Y212" s="9"/>
    </row>
    <row r="213" spans="1:25" x14ac:dyDescent="0.25">
      <c r="A213" s="3">
        <v>211</v>
      </c>
      <c r="B213" s="3"/>
      <c r="C213" s="9"/>
      <c r="D213" s="7"/>
      <c r="E213" s="5"/>
      <c r="F213" s="4"/>
      <c r="G213" s="9"/>
      <c r="I213" s="5"/>
      <c r="J213" s="4"/>
      <c r="K213" s="9"/>
      <c r="Y213" s="9"/>
    </row>
    <row r="214" spans="1:25" x14ac:dyDescent="0.25">
      <c r="A214" s="3">
        <v>212</v>
      </c>
      <c r="B214" s="3"/>
      <c r="C214" s="9"/>
      <c r="D214" s="7"/>
      <c r="E214" s="5"/>
      <c r="F214" s="4"/>
      <c r="G214" s="9"/>
      <c r="I214" s="5"/>
      <c r="J214" s="4"/>
      <c r="K214" s="9"/>
      <c r="Y214" s="9"/>
    </row>
    <row r="215" spans="1:25" x14ac:dyDescent="0.25">
      <c r="A215" s="3">
        <v>213</v>
      </c>
      <c r="B215" s="3"/>
      <c r="C215" s="9"/>
      <c r="D215" s="7"/>
      <c r="E215" s="5"/>
      <c r="F215" s="4"/>
      <c r="G215" s="9"/>
      <c r="I215" s="5"/>
      <c r="J215" s="4"/>
      <c r="K215" s="9"/>
      <c r="Y215" s="9"/>
    </row>
    <row r="216" spans="1:25" x14ac:dyDescent="0.25">
      <c r="A216" s="3">
        <v>214</v>
      </c>
      <c r="B216" s="3"/>
      <c r="C216" s="9"/>
      <c r="D216" s="7"/>
      <c r="E216" s="5"/>
      <c r="F216" s="4"/>
      <c r="G216" s="9"/>
      <c r="I216" s="5"/>
      <c r="J216" s="4"/>
      <c r="K216" s="9"/>
      <c r="Y216" s="9"/>
    </row>
    <row r="217" spans="1:25" x14ac:dyDescent="0.25">
      <c r="A217" s="3">
        <v>215</v>
      </c>
      <c r="B217" s="3"/>
      <c r="C217" s="9"/>
      <c r="D217" s="7"/>
      <c r="E217" s="5"/>
      <c r="F217" s="4"/>
      <c r="G217" s="9"/>
      <c r="I217" s="5"/>
      <c r="J217" s="4"/>
      <c r="K217" s="9"/>
      <c r="Y217" s="9"/>
    </row>
    <row r="218" spans="1:25" x14ac:dyDescent="0.25">
      <c r="A218" s="3">
        <v>216</v>
      </c>
      <c r="B218" s="3"/>
      <c r="C218" s="9"/>
      <c r="D218" s="7"/>
      <c r="E218" s="5"/>
      <c r="F218" s="4"/>
      <c r="G218" s="9"/>
      <c r="I218" s="5"/>
      <c r="J218" s="4"/>
      <c r="K218" s="9"/>
      <c r="Y218" s="9"/>
    </row>
    <row r="219" spans="1:25" x14ac:dyDescent="0.25">
      <c r="A219" s="3">
        <v>217</v>
      </c>
      <c r="B219" s="3"/>
      <c r="C219" s="9"/>
      <c r="D219" s="7"/>
      <c r="E219" s="5"/>
      <c r="F219" s="4"/>
      <c r="G219" s="9"/>
      <c r="I219" s="5"/>
      <c r="J219" s="4"/>
      <c r="K219" s="9"/>
      <c r="Y219" s="9"/>
    </row>
    <row r="220" spans="1:25" x14ac:dyDescent="0.25">
      <c r="A220" s="3">
        <v>218</v>
      </c>
      <c r="B220" s="3"/>
      <c r="C220" s="9"/>
      <c r="D220" s="7"/>
      <c r="E220" s="5"/>
      <c r="F220" s="4"/>
      <c r="G220" s="9"/>
      <c r="I220" s="5"/>
      <c r="J220" s="4"/>
      <c r="K220" s="9"/>
      <c r="Y220" s="9"/>
    </row>
    <row r="221" spans="1:25" x14ac:dyDescent="0.25">
      <c r="A221" s="3">
        <v>219</v>
      </c>
      <c r="B221" s="3"/>
      <c r="C221" s="9"/>
      <c r="D221" s="7"/>
      <c r="E221" s="5"/>
      <c r="F221" s="4"/>
      <c r="G221" s="9"/>
      <c r="I221" s="5"/>
      <c r="J221" s="4"/>
      <c r="K221" s="9"/>
      <c r="Y221" s="9"/>
    </row>
    <row r="222" spans="1:25" x14ac:dyDescent="0.25">
      <c r="A222" s="3">
        <v>220</v>
      </c>
      <c r="B222" s="3"/>
      <c r="C222" s="9"/>
      <c r="D222" s="7"/>
      <c r="E222" s="5"/>
      <c r="F222" s="4"/>
      <c r="G222" s="9"/>
      <c r="I222" s="5"/>
      <c r="J222" s="4"/>
      <c r="K222" s="9"/>
      <c r="Y222" s="9"/>
    </row>
    <row r="223" spans="1:25" x14ac:dyDescent="0.25">
      <c r="A223" s="3">
        <v>221</v>
      </c>
      <c r="B223" s="3"/>
      <c r="C223" s="9"/>
      <c r="D223" s="7"/>
      <c r="E223" s="5"/>
      <c r="F223" s="4"/>
      <c r="G223" s="9"/>
      <c r="I223" s="5"/>
      <c r="J223" s="4"/>
      <c r="K223" s="9"/>
      <c r="Y223" s="9"/>
    </row>
    <row r="224" spans="1:25" x14ac:dyDescent="0.25">
      <c r="A224" s="3">
        <v>222</v>
      </c>
      <c r="B224" s="3"/>
      <c r="C224" s="9"/>
      <c r="D224" s="7"/>
      <c r="E224" s="5"/>
      <c r="F224" s="4"/>
      <c r="G224" s="9"/>
      <c r="I224" s="5"/>
      <c r="J224" s="4"/>
      <c r="K224" s="9"/>
      <c r="Y224" s="9"/>
    </row>
    <row r="225" spans="1:25" x14ac:dyDescent="0.25">
      <c r="A225" s="3">
        <v>223</v>
      </c>
      <c r="B225" s="3"/>
      <c r="C225" s="9"/>
      <c r="D225" s="7"/>
      <c r="E225" s="5"/>
      <c r="F225" s="4"/>
      <c r="G225" s="9"/>
      <c r="I225" s="5"/>
      <c r="J225" s="4"/>
      <c r="K225" s="9"/>
      <c r="Y225" s="9"/>
    </row>
    <row r="226" spans="1:25" x14ac:dyDescent="0.25">
      <c r="A226" s="3">
        <v>224</v>
      </c>
      <c r="B226" s="3"/>
      <c r="C226" s="9"/>
      <c r="D226" s="7"/>
      <c r="E226" s="5"/>
      <c r="F226" s="4"/>
      <c r="G226" s="9"/>
      <c r="I226" s="5"/>
      <c r="J226" s="4"/>
      <c r="K226" s="9"/>
      <c r="Y226" s="9"/>
    </row>
    <row r="227" spans="1:25" x14ac:dyDescent="0.25">
      <c r="A227" s="3">
        <v>225</v>
      </c>
      <c r="B227" s="3"/>
      <c r="C227" s="9"/>
      <c r="D227" s="7"/>
      <c r="E227" s="5"/>
      <c r="F227" s="4"/>
      <c r="G227" s="9"/>
      <c r="I227" s="5"/>
      <c r="J227" s="4"/>
      <c r="K227" s="9"/>
      <c r="Y227" s="9"/>
    </row>
    <row r="228" spans="1:25" x14ac:dyDescent="0.25">
      <c r="A228" s="3">
        <v>226</v>
      </c>
      <c r="B228" s="3"/>
      <c r="C228" s="9"/>
      <c r="D228" s="7"/>
      <c r="E228" s="5"/>
      <c r="F228" s="4"/>
      <c r="G228" s="9"/>
      <c r="I228" s="5"/>
      <c r="J228" s="4"/>
      <c r="K228" s="9"/>
      <c r="Y228" s="9"/>
    </row>
    <row r="229" spans="1:25" x14ac:dyDescent="0.25">
      <c r="A229" s="3">
        <v>227</v>
      </c>
      <c r="B229" s="3"/>
      <c r="C229" s="9"/>
      <c r="D229" s="7"/>
      <c r="E229" s="5"/>
      <c r="F229" s="4"/>
      <c r="G229" s="9"/>
      <c r="I229" s="5"/>
      <c r="J229" s="4"/>
      <c r="K229" s="9"/>
      <c r="Y229" s="9"/>
    </row>
    <row r="230" spans="1:25" x14ac:dyDescent="0.25">
      <c r="A230" s="3">
        <v>228</v>
      </c>
      <c r="B230" s="3"/>
      <c r="C230" s="9"/>
      <c r="D230" s="7"/>
      <c r="E230" s="5"/>
      <c r="F230" s="4"/>
      <c r="G230" s="9"/>
      <c r="I230" s="5"/>
      <c r="J230" s="4"/>
      <c r="K230" s="9"/>
      <c r="Y230" s="9"/>
    </row>
    <row r="231" spans="1:25" x14ac:dyDescent="0.25">
      <c r="A231" s="3">
        <v>229</v>
      </c>
      <c r="B231" s="3"/>
      <c r="C231" s="9"/>
      <c r="D231" s="7"/>
      <c r="E231" s="5"/>
      <c r="F231" s="4"/>
      <c r="G231" s="9"/>
      <c r="I231" s="5"/>
      <c r="J231" s="4"/>
      <c r="K231" s="9"/>
      <c r="Y231" s="9"/>
    </row>
    <row r="232" spans="1:25" x14ac:dyDescent="0.25">
      <c r="A232" s="3">
        <v>230</v>
      </c>
      <c r="B232" s="3"/>
      <c r="C232" s="9"/>
      <c r="D232" s="7"/>
      <c r="E232" s="5"/>
      <c r="F232" s="4"/>
      <c r="G232" s="9"/>
      <c r="I232" s="5"/>
      <c r="J232" s="4"/>
      <c r="K232" s="9"/>
      <c r="Y232" s="9"/>
    </row>
    <row r="233" spans="1:25" x14ac:dyDescent="0.25">
      <c r="A233" s="3">
        <v>231</v>
      </c>
      <c r="B233" s="3"/>
      <c r="C233" s="9"/>
      <c r="D233" s="7"/>
      <c r="E233" s="5"/>
      <c r="F233" s="4"/>
      <c r="G233" s="9"/>
      <c r="I233" s="5"/>
      <c r="J233" s="4"/>
      <c r="K233" s="9"/>
      <c r="Y233" s="9"/>
    </row>
    <row r="234" spans="1:25" x14ac:dyDescent="0.25">
      <c r="A234" s="3">
        <v>232</v>
      </c>
      <c r="B234" s="3"/>
      <c r="C234" s="9"/>
      <c r="D234" s="7"/>
      <c r="E234" s="5"/>
      <c r="F234" s="4"/>
      <c r="G234" s="9"/>
      <c r="I234" s="5"/>
      <c r="J234" s="4"/>
      <c r="K234" s="9"/>
      <c r="Y234" s="9"/>
    </row>
    <row r="235" spans="1:25" x14ac:dyDescent="0.25">
      <c r="A235" s="3">
        <v>233</v>
      </c>
      <c r="B235" s="3"/>
      <c r="C235" s="9"/>
      <c r="D235" s="7"/>
      <c r="E235" s="5"/>
      <c r="F235" s="4"/>
      <c r="G235" s="9"/>
      <c r="I235" s="5"/>
      <c r="J235" s="4"/>
      <c r="K235" s="9"/>
      <c r="Y235" s="9"/>
    </row>
    <row r="236" spans="1:25" x14ac:dyDescent="0.25">
      <c r="A236" s="3">
        <v>234</v>
      </c>
      <c r="B236" s="3"/>
      <c r="C236" s="9"/>
      <c r="D236" s="7"/>
      <c r="E236" s="5"/>
      <c r="F236" s="4"/>
      <c r="G236" s="9"/>
      <c r="I236" s="5"/>
      <c r="J236" s="4"/>
      <c r="K236" s="9"/>
      <c r="Y236" s="9"/>
    </row>
    <row r="237" spans="1:25" x14ac:dyDescent="0.25">
      <c r="A237" s="3">
        <v>235</v>
      </c>
      <c r="B237" s="3"/>
      <c r="C237" s="9"/>
      <c r="D237" s="7"/>
      <c r="E237" s="5"/>
      <c r="F237" s="4"/>
      <c r="G237" s="9"/>
      <c r="I237" s="5"/>
      <c r="J237" s="4"/>
      <c r="K237" s="9"/>
      <c r="Y237" s="9"/>
    </row>
    <row r="238" spans="1:25" x14ac:dyDescent="0.25">
      <c r="A238" s="3">
        <v>236</v>
      </c>
      <c r="B238" s="3"/>
      <c r="C238" s="9"/>
      <c r="D238" s="7"/>
      <c r="E238" s="5"/>
      <c r="F238" s="4"/>
      <c r="G238" s="9"/>
      <c r="I238" s="5"/>
      <c r="J238" s="4"/>
      <c r="K238" s="9"/>
      <c r="Y238" s="9"/>
    </row>
    <row r="239" spans="1:25" x14ac:dyDescent="0.25">
      <c r="A239" s="3">
        <v>237</v>
      </c>
      <c r="B239" s="3"/>
      <c r="C239" s="9"/>
      <c r="D239" s="7"/>
      <c r="E239" s="5"/>
      <c r="F239" s="4"/>
      <c r="G239" s="9"/>
      <c r="I239" s="5"/>
      <c r="J239" s="4"/>
      <c r="K239" s="9"/>
      <c r="Y239" s="9"/>
    </row>
    <row r="240" spans="1:25" x14ac:dyDescent="0.25">
      <c r="A240" s="3">
        <v>238</v>
      </c>
      <c r="B240" s="3"/>
      <c r="C240" s="9"/>
      <c r="D240" s="7"/>
      <c r="E240" s="5"/>
      <c r="F240" s="4"/>
      <c r="G240" s="9"/>
      <c r="I240" s="5"/>
      <c r="J240" s="4"/>
      <c r="K240" s="9"/>
      <c r="Y240" s="9"/>
    </row>
    <row r="241" spans="1:25" x14ac:dyDescent="0.25">
      <c r="A241" s="3">
        <v>239</v>
      </c>
      <c r="B241" s="3"/>
      <c r="C241" s="9"/>
      <c r="D241" s="7"/>
      <c r="E241" s="5"/>
      <c r="F241" s="4"/>
      <c r="G241" s="9"/>
      <c r="I241" s="5"/>
      <c r="J241" s="4"/>
      <c r="K241" s="9"/>
      <c r="Y241" s="9"/>
    </row>
    <row r="242" spans="1:25" x14ac:dyDescent="0.25">
      <c r="A242" s="3">
        <v>240</v>
      </c>
      <c r="B242" s="3"/>
      <c r="C242" s="9"/>
      <c r="D242" s="7"/>
      <c r="E242" s="5"/>
      <c r="F242" s="4"/>
      <c r="G242" s="9"/>
      <c r="I242" s="5"/>
      <c r="J242" s="4"/>
      <c r="K242" s="9"/>
      <c r="Y242" s="9"/>
    </row>
    <row r="243" spans="1:25" x14ac:dyDescent="0.25">
      <c r="A243" s="3">
        <v>241</v>
      </c>
      <c r="B243" s="3"/>
      <c r="C243" s="9"/>
      <c r="D243" s="7"/>
      <c r="E243" s="5"/>
      <c r="F243" s="4"/>
      <c r="G243" s="9"/>
      <c r="I243" s="5"/>
      <c r="J243" s="4"/>
      <c r="K243" s="9"/>
      <c r="Y243" s="9"/>
    </row>
    <row r="244" spans="1:25" x14ac:dyDescent="0.25">
      <c r="A244" s="3">
        <v>242</v>
      </c>
      <c r="B244" s="3"/>
      <c r="C244" s="9"/>
      <c r="D244" s="7"/>
      <c r="E244" s="5"/>
      <c r="F244" s="4"/>
      <c r="G244" s="9"/>
      <c r="I244" s="5"/>
      <c r="J244" s="4"/>
      <c r="K244" s="9"/>
      <c r="Y244" s="9"/>
    </row>
    <row r="245" spans="1:25" x14ac:dyDescent="0.25">
      <c r="A245" s="3">
        <v>243</v>
      </c>
      <c r="B245" s="3"/>
      <c r="C245" s="9"/>
      <c r="D245" s="7"/>
      <c r="E245" s="5"/>
      <c r="F245" s="4"/>
      <c r="G245" s="9"/>
      <c r="I245" s="5"/>
      <c r="J245" s="4"/>
      <c r="K245" s="9"/>
      <c r="Y245" s="9"/>
    </row>
    <row r="246" spans="1:25" x14ac:dyDescent="0.25">
      <c r="A246" s="3">
        <v>244</v>
      </c>
      <c r="B246" s="3"/>
      <c r="C246" s="9"/>
      <c r="D246" s="7"/>
      <c r="E246" s="5"/>
      <c r="F246" s="4"/>
      <c r="G246" s="9"/>
      <c r="I246" s="5"/>
      <c r="J246" s="4"/>
      <c r="K246" s="9"/>
      <c r="Y246" s="9"/>
    </row>
    <row r="247" spans="1:25" x14ac:dyDescent="0.25">
      <c r="A247" s="3">
        <v>245</v>
      </c>
      <c r="B247" s="3"/>
      <c r="C247" s="9"/>
      <c r="D247" s="7"/>
      <c r="E247" s="5"/>
      <c r="F247" s="4"/>
      <c r="G247" s="9"/>
      <c r="I247" s="5"/>
      <c r="J247" s="4"/>
      <c r="K247" s="9"/>
      <c r="Y247" s="9"/>
    </row>
    <row r="248" spans="1:25" x14ac:dyDescent="0.25">
      <c r="A248" s="3">
        <v>246</v>
      </c>
      <c r="B248" s="3"/>
      <c r="C248" s="9"/>
      <c r="D248" s="7"/>
      <c r="E248" s="5"/>
      <c r="F248" s="4"/>
      <c r="G248" s="9"/>
      <c r="I248" s="5"/>
      <c r="J248" s="4"/>
      <c r="K248" s="9"/>
      <c r="Y248" s="9"/>
    </row>
    <row r="249" spans="1:25" x14ac:dyDescent="0.25">
      <c r="A249" s="3">
        <v>247</v>
      </c>
      <c r="B249" s="3"/>
      <c r="C249" s="9"/>
      <c r="D249" s="7"/>
      <c r="E249" s="5"/>
      <c r="F249" s="4"/>
      <c r="G249" s="9"/>
      <c r="I249" s="5"/>
      <c r="J249" s="4"/>
      <c r="K249" s="9"/>
      <c r="Y249" s="9"/>
    </row>
    <row r="250" spans="1:25" x14ac:dyDescent="0.25">
      <c r="A250" s="3">
        <v>248</v>
      </c>
      <c r="B250" s="3"/>
      <c r="C250" s="9"/>
      <c r="D250" s="7"/>
      <c r="E250" s="5"/>
      <c r="F250" s="4"/>
      <c r="G250" s="9"/>
      <c r="I250" s="5"/>
      <c r="J250" s="4"/>
      <c r="K250" s="9"/>
      <c r="Y250" s="9"/>
    </row>
    <row r="251" spans="1:25" x14ac:dyDescent="0.25">
      <c r="A251" s="3">
        <v>249</v>
      </c>
      <c r="B251" s="3"/>
      <c r="C251" s="9"/>
      <c r="D251" s="7"/>
      <c r="E251" s="5"/>
      <c r="F251" s="4"/>
      <c r="G251" s="9"/>
      <c r="I251" s="5"/>
      <c r="J251" s="4"/>
      <c r="K251" s="9"/>
      <c r="Y251" s="9"/>
    </row>
    <row r="252" spans="1:25" x14ac:dyDescent="0.25">
      <c r="A252" s="3">
        <v>250</v>
      </c>
      <c r="B252" s="3"/>
      <c r="C252" s="9"/>
      <c r="D252" s="7"/>
      <c r="E252" s="5"/>
      <c r="F252" s="4"/>
      <c r="G252" s="9"/>
      <c r="I252" s="5"/>
      <c r="J252" s="4"/>
      <c r="K252" s="9"/>
      <c r="Y252" s="9"/>
    </row>
    <row r="253" spans="1:25" x14ac:dyDescent="0.25">
      <c r="A253" s="3">
        <v>251</v>
      </c>
      <c r="B253" s="3"/>
      <c r="C253" s="9"/>
      <c r="D253" s="7"/>
      <c r="E253" s="5"/>
      <c r="F253" s="4"/>
      <c r="G253" s="9"/>
      <c r="I253" s="5"/>
      <c r="J253" s="4"/>
      <c r="K253" s="9"/>
      <c r="Y253" s="9"/>
    </row>
    <row r="254" spans="1:25" x14ac:dyDescent="0.25">
      <c r="A254" s="3">
        <v>252</v>
      </c>
      <c r="B254" s="3"/>
      <c r="C254" s="9"/>
      <c r="D254" s="7"/>
      <c r="E254" s="5"/>
      <c r="F254" s="4"/>
      <c r="G254" s="9"/>
      <c r="I254" s="5"/>
      <c r="J254" s="4"/>
      <c r="K254" s="9"/>
      <c r="Y254" s="9"/>
    </row>
    <row r="255" spans="1:25" x14ac:dyDescent="0.25">
      <c r="A255" s="3">
        <v>253</v>
      </c>
      <c r="B255" s="3"/>
      <c r="C255" s="9"/>
      <c r="D255" s="7"/>
      <c r="E255" s="5"/>
      <c r="F255" s="4"/>
      <c r="G255" s="9"/>
      <c r="I255" s="5"/>
      <c r="J255" s="4"/>
      <c r="K255" s="9"/>
      <c r="Y255" s="9"/>
    </row>
    <row r="256" spans="1:25" x14ac:dyDescent="0.25">
      <c r="A256" s="3">
        <v>254</v>
      </c>
      <c r="B256" s="3"/>
      <c r="C256" s="9"/>
      <c r="D256" s="7"/>
      <c r="E256" s="5"/>
      <c r="F256" s="4"/>
      <c r="G256" s="9"/>
      <c r="I256" s="5"/>
      <c r="J256" s="4"/>
      <c r="K256" s="9"/>
      <c r="Y256" s="9"/>
    </row>
    <row r="257" spans="1:25" x14ac:dyDescent="0.25">
      <c r="A257" s="3">
        <v>255</v>
      </c>
      <c r="B257" s="3"/>
      <c r="C257" s="9"/>
      <c r="D257" s="7"/>
      <c r="E257" s="5"/>
      <c r="F257" s="4"/>
      <c r="G257" s="9"/>
      <c r="I257" s="5"/>
      <c r="J257" s="4"/>
      <c r="K257" s="9"/>
      <c r="Y257" s="9"/>
    </row>
    <row r="258" spans="1:25" x14ac:dyDescent="0.25">
      <c r="A258" s="3">
        <v>256</v>
      </c>
      <c r="B258" s="3"/>
      <c r="C258" s="9"/>
      <c r="D258" s="7"/>
      <c r="E258" s="5"/>
      <c r="F258" s="4"/>
      <c r="G258" s="9"/>
      <c r="I258" s="5"/>
      <c r="J258" s="4"/>
      <c r="K258" s="9"/>
      <c r="Y258" s="9"/>
    </row>
    <row r="259" spans="1:25" x14ac:dyDescent="0.25">
      <c r="A259" s="3">
        <v>257</v>
      </c>
      <c r="B259" s="3"/>
      <c r="C259" s="9"/>
      <c r="D259" s="7"/>
      <c r="E259" s="5"/>
      <c r="F259" s="4"/>
      <c r="G259" s="9"/>
      <c r="I259" s="5"/>
      <c r="J259" s="4"/>
      <c r="K259" s="9"/>
      <c r="Y259" s="9"/>
    </row>
    <row r="260" spans="1:25" x14ac:dyDescent="0.25">
      <c r="A260" s="3">
        <v>258</v>
      </c>
      <c r="B260" s="3"/>
      <c r="C260" s="9"/>
      <c r="D260" s="7"/>
      <c r="E260" s="5"/>
      <c r="F260" s="4"/>
      <c r="G260" s="9"/>
      <c r="I260" s="5"/>
      <c r="J260" s="4"/>
      <c r="K260" s="9"/>
      <c r="Y260" s="9"/>
    </row>
    <row r="261" spans="1:25" x14ac:dyDescent="0.25">
      <c r="A261" s="3">
        <v>259</v>
      </c>
      <c r="B261" s="3"/>
      <c r="C261" s="9"/>
      <c r="D261" s="7"/>
      <c r="E261" s="5"/>
      <c r="F261" s="4"/>
      <c r="G261" s="9"/>
      <c r="I261" s="5"/>
      <c r="J261" s="4"/>
      <c r="K261" s="9"/>
      <c r="Y261" s="9"/>
    </row>
    <row r="262" spans="1:25" x14ac:dyDescent="0.25">
      <c r="A262" s="3">
        <v>260</v>
      </c>
      <c r="B262" s="3"/>
      <c r="C262" s="9"/>
      <c r="D262" s="7"/>
      <c r="E262" s="5"/>
      <c r="F262" s="4"/>
      <c r="G262" s="9"/>
      <c r="I262" s="5"/>
      <c r="J262" s="4"/>
      <c r="K262" s="9"/>
      <c r="Y262" s="9"/>
    </row>
    <row r="263" spans="1:25" x14ac:dyDescent="0.25">
      <c r="A263" s="3">
        <v>261</v>
      </c>
      <c r="B263" s="3"/>
      <c r="C263" s="9"/>
      <c r="D263" s="7"/>
      <c r="E263" s="5"/>
      <c r="F263" s="4"/>
      <c r="G263" s="9"/>
      <c r="I263" s="5"/>
      <c r="J263" s="4"/>
      <c r="K263" s="9"/>
      <c r="Y263" s="9"/>
    </row>
    <row r="264" spans="1:25" x14ac:dyDescent="0.25">
      <c r="A264" s="3">
        <v>262</v>
      </c>
      <c r="B264" s="3"/>
      <c r="C264" s="9"/>
      <c r="D264" s="7"/>
      <c r="E264" s="5"/>
      <c r="F264" s="4"/>
      <c r="G264" s="9"/>
      <c r="I264" s="5"/>
      <c r="J264" s="4"/>
      <c r="K264" s="9"/>
      <c r="Y264" s="9"/>
    </row>
    <row r="265" spans="1:25" x14ac:dyDescent="0.25">
      <c r="A265" s="3">
        <v>263</v>
      </c>
      <c r="B265" s="3"/>
      <c r="C265" s="9"/>
      <c r="D265" s="7"/>
      <c r="E265" s="5"/>
      <c r="F265" s="4"/>
      <c r="G265" s="9"/>
      <c r="I265" s="5"/>
      <c r="J265" s="4"/>
      <c r="K265" s="9"/>
      <c r="Y265" s="9"/>
    </row>
    <row r="266" spans="1:25" x14ac:dyDescent="0.25">
      <c r="A266" s="3">
        <v>264</v>
      </c>
      <c r="B266" s="3"/>
      <c r="C266" s="9"/>
      <c r="D266" s="7"/>
      <c r="E266" s="5"/>
      <c r="F266" s="4"/>
      <c r="G266" s="9"/>
      <c r="I266" s="5"/>
      <c r="J266" s="4"/>
      <c r="K266" s="9"/>
      <c r="Y266" s="9"/>
    </row>
    <row r="267" spans="1:25" x14ac:dyDescent="0.25">
      <c r="A267" s="3">
        <v>265</v>
      </c>
      <c r="B267" s="3"/>
      <c r="C267" s="9"/>
      <c r="D267" s="7"/>
      <c r="E267" s="5"/>
      <c r="F267" s="4"/>
      <c r="G267" s="9"/>
      <c r="I267" s="5"/>
      <c r="J267" s="4"/>
      <c r="K267" s="9"/>
      <c r="Y267" s="9"/>
    </row>
    <row r="268" spans="1:25" x14ac:dyDescent="0.25">
      <c r="A268" s="3">
        <v>266</v>
      </c>
      <c r="B268" s="3"/>
      <c r="C268" s="9"/>
      <c r="D268" s="7"/>
      <c r="E268" s="5"/>
      <c r="F268" s="4"/>
      <c r="G268" s="9"/>
      <c r="I268" s="5"/>
      <c r="J268" s="4"/>
      <c r="K268" s="9"/>
      <c r="Y268" s="9"/>
    </row>
    <row r="269" spans="1:25" x14ac:dyDescent="0.25">
      <c r="A269" s="3">
        <v>267</v>
      </c>
      <c r="B269" s="3"/>
      <c r="C269" s="9"/>
      <c r="D269" s="7"/>
      <c r="E269" s="5"/>
      <c r="F269" s="4"/>
      <c r="G269" s="9"/>
      <c r="I269" s="5"/>
      <c r="J269" s="4"/>
      <c r="K269" s="9"/>
      <c r="Y269" s="9"/>
    </row>
    <row r="270" spans="1:25" x14ac:dyDescent="0.25">
      <c r="A270" s="3">
        <v>268</v>
      </c>
      <c r="B270" s="3"/>
      <c r="C270" s="9"/>
      <c r="D270" s="7"/>
      <c r="E270" s="5"/>
      <c r="F270" s="4"/>
      <c r="G270" s="9"/>
      <c r="I270" s="5"/>
      <c r="J270" s="4"/>
      <c r="K270" s="9"/>
      <c r="Y270" s="9"/>
    </row>
    <row r="271" spans="1:25" x14ac:dyDescent="0.25">
      <c r="A271" s="3">
        <v>269</v>
      </c>
      <c r="B271" s="3"/>
      <c r="C271" s="9"/>
      <c r="D271" s="7"/>
      <c r="E271" s="5"/>
      <c r="F271" s="4"/>
      <c r="G271" s="9"/>
      <c r="I271" s="5"/>
      <c r="J271" s="4"/>
      <c r="K271" s="9"/>
      <c r="Y271" s="9"/>
    </row>
    <row r="272" spans="1:25" x14ac:dyDescent="0.25">
      <c r="A272" s="3">
        <v>270</v>
      </c>
      <c r="B272" s="3"/>
      <c r="C272" s="9"/>
      <c r="D272" s="7"/>
      <c r="E272" s="5"/>
      <c r="F272" s="4"/>
      <c r="G272" s="9"/>
      <c r="I272" s="5"/>
      <c r="J272" s="4"/>
      <c r="K272" s="9"/>
      <c r="Y272" s="9"/>
    </row>
    <row r="273" spans="1:25" x14ac:dyDescent="0.25">
      <c r="A273" s="3">
        <v>271</v>
      </c>
      <c r="B273" s="3"/>
      <c r="C273" s="9"/>
      <c r="D273" s="7"/>
      <c r="E273" s="5"/>
      <c r="F273" s="4"/>
      <c r="G273" s="9"/>
      <c r="I273" s="5"/>
      <c r="J273" s="4"/>
      <c r="K273" s="9"/>
      <c r="Y273" s="9"/>
    </row>
    <row r="274" spans="1:25" x14ac:dyDescent="0.25">
      <c r="A274" s="3">
        <v>272</v>
      </c>
      <c r="B274" s="3"/>
      <c r="C274" s="9"/>
      <c r="D274" s="7"/>
      <c r="E274" s="5"/>
      <c r="F274" s="4"/>
      <c r="G274" s="9"/>
      <c r="I274" s="5"/>
      <c r="J274" s="4"/>
      <c r="K274" s="9"/>
      <c r="Y274" s="9"/>
    </row>
    <row r="275" spans="1:25" x14ac:dyDescent="0.25">
      <c r="A275" s="3">
        <v>273</v>
      </c>
      <c r="B275" s="3"/>
      <c r="C275" s="9"/>
      <c r="D275" s="7"/>
      <c r="E275" s="5"/>
      <c r="F275" s="4"/>
      <c r="G275" s="9"/>
      <c r="I275" s="5"/>
      <c r="J275" s="4"/>
      <c r="K275" s="9"/>
      <c r="Y275" s="9"/>
    </row>
    <row r="276" spans="1:25" x14ac:dyDescent="0.25">
      <c r="A276" s="3">
        <v>274</v>
      </c>
      <c r="B276" s="3"/>
      <c r="C276" s="9"/>
      <c r="D276" s="7"/>
      <c r="E276" s="5"/>
      <c r="F276" s="4"/>
      <c r="G276" s="9"/>
      <c r="I276" s="5"/>
      <c r="J276" s="4"/>
      <c r="K276" s="9"/>
      <c r="Y276" s="9"/>
    </row>
    <row r="277" spans="1:25" x14ac:dyDescent="0.25">
      <c r="A277" s="3">
        <v>275</v>
      </c>
      <c r="B277" s="3"/>
      <c r="C277" s="9"/>
      <c r="D277" s="7"/>
      <c r="E277" s="5"/>
      <c r="F277" s="4"/>
      <c r="G277" s="9"/>
      <c r="I277" s="5"/>
      <c r="J277" s="4"/>
      <c r="K277" s="9"/>
      <c r="Y277" s="9"/>
    </row>
    <row r="278" spans="1:25" x14ac:dyDescent="0.25">
      <c r="A278" s="3">
        <v>276</v>
      </c>
      <c r="B278" s="3"/>
      <c r="C278" s="9"/>
      <c r="D278" s="7"/>
      <c r="E278" s="5"/>
      <c r="F278" s="4"/>
      <c r="G278" s="9"/>
      <c r="I278" s="5"/>
      <c r="J278" s="4"/>
      <c r="K278" s="9"/>
      <c r="Y278" s="9"/>
    </row>
    <row r="279" spans="1:25" x14ac:dyDescent="0.25">
      <c r="A279" s="3">
        <v>277</v>
      </c>
      <c r="B279" s="3"/>
      <c r="C279" s="9"/>
      <c r="D279" s="7"/>
      <c r="E279" s="5"/>
      <c r="F279" s="4"/>
      <c r="G279" s="9"/>
      <c r="I279" s="5"/>
      <c r="J279" s="4"/>
      <c r="K279" s="9"/>
      <c r="Y27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FB96-1AF2-4220-88A0-3E59B56B1E07}">
  <dimension ref="A1:CB279"/>
  <sheetViews>
    <sheetView zoomScale="55" zoomScaleNormal="55" workbookViewId="0">
      <selection sqref="A1:W21"/>
    </sheetView>
  </sheetViews>
  <sheetFormatPr defaultRowHeight="15.75" x14ac:dyDescent="0.25"/>
  <cols>
    <col min="1" max="1" width="4.7109375" bestFit="1" customWidth="1"/>
    <col min="2" max="2" width="10.42578125" bestFit="1" customWidth="1"/>
    <col min="3" max="3" width="15.5703125" style="10" bestFit="1" customWidth="1"/>
    <col min="4" max="4" width="15.5703125" style="8" bestFit="1" customWidth="1"/>
    <col min="5" max="5" width="15.5703125" style="6" bestFit="1" customWidth="1"/>
    <col min="6" max="6" width="15.5703125" style="2" bestFit="1" customWidth="1"/>
    <col min="7" max="7" width="15.5703125" style="10" bestFit="1" customWidth="1"/>
    <col min="8" max="8" width="15.5703125" style="7" bestFit="1" customWidth="1"/>
    <col min="9" max="9" width="15.5703125" style="6" bestFit="1" customWidth="1"/>
    <col min="10" max="10" width="15.5703125" style="2" bestFit="1" customWidth="1"/>
    <col min="11" max="11" width="15.5703125" style="10" bestFit="1" customWidth="1"/>
    <col min="12" max="12" width="9.140625" style="6"/>
    <col min="13" max="13" width="9.140625" style="2"/>
    <col min="15" max="24" width="13" bestFit="1" customWidth="1"/>
    <col min="25" max="25" width="11.5703125" style="10" bestFit="1" customWidth="1"/>
    <col min="26" max="26" width="9.140625" style="6"/>
    <col min="27" max="27" width="7.42578125" style="2" bestFit="1" customWidth="1"/>
    <col min="28" max="28" width="33.5703125" bestFit="1" customWidth="1"/>
    <col min="29" max="29" width="21.42578125" bestFit="1" customWidth="1"/>
    <col min="30" max="38" width="13" bestFit="1" customWidth="1"/>
    <col min="39" max="39" width="13.5703125" bestFit="1" customWidth="1"/>
    <col min="40" max="40" width="13.28515625" bestFit="1" customWidth="1"/>
    <col min="45" max="54" width="13.5703125" bestFit="1" customWidth="1"/>
    <col min="59" max="62" width="17.28515625" bestFit="1" customWidth="1"/>
    <col min="63" max="63" width="11.140625" bestFit="1" customWidth="1"/>
    <col min="64" max="64" width="17.28515625" bestFit="1" customWidth="1"/>
  </cols>
  <sheetData>
    <row r="1" spans="1:80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N1" t="s">
        <v>13</v>
      </c>
      <c r="O1" t="s">
        <v>15</v>
      </c>
      <c r="P1" t="str">
        <f>LEFT(O1, LEN(O1)-2) &amp; "1]"</f>
        <v>det22_reg [1]</v>
      </c>
      <c r="Q1" t="s">
        <v>16</v>
      </c>
      <c r="R1" t="s">
        <v>17</v>
      </c>
      <c r="S1" t="s">
        <v>14</v>
      </c>
      <c r="T1" t="s">
        <v>18</v>
      </c>
      <c r="U1" t="s">
        <v>19</v>
      </c>
      <c r="V1" t="s">
        <v>20</v>
      </c>
      <c r="W1" t="s">
        <v>21</v>
      </c>
      <c r="Y1" s="9" t="str">
        <f>K1</f>
        <v>det22_c</v>
      </c>
      <c r="Z1" s="5">
        <f t="shared" ref="Z1:AA16" si="0">L1</f>
        <v>0</v>
      </c>
      <c r="AA1" s="4">
        <f t="shared" si="0"/>
        <v>0</v>
      </c>
      <c r="AB1" t="s">
        <v>36</v>
      </c>
      <c r="AD1" t="s">
        <v>22</v>
      </c>
      <c r="AE1" t="s">
        <v>15</v>
      </c>
      <c r="AF1" t="str">
        <f>LEFT(AE1, LEN(AE1)-2) &amp; "1]"</f>
        <v>det22_reg [1]</v>
      </c>
      <c r="AG1" t="s">
        <v>16</v>
      </c>
      <c r="AH1" t="s">
        <v>17</v>
      </c>
      <c r="AI1" t="s">
        <v>14</v>
      </c>
      <c r="AJ1" t="s">
        <v>18</v>
      </c>
      <c r="AK1" t="s">
        <v>19</v>
      </c>
      <c r="AL1" t="s">
        <v>20</v>
      </c>
      <c r="AM1" t="s">
        <v>33</v>
      </c>
      <c r="AN1" t="s">
        <v>34</v>
      </c>
      <c r="AO1" t="s">
        <v>23</v>
      </c>
      <c r="AP1" s="3" t="s">
        <v>1</v>
      </c>
      <c r="AQ1" s="3" t="s">
        <v>2</v>
      </c>
      <c r="AR1" s="9" t="s">
        <v>3</v>
      </c>
      <c r="AS1" s="7" t="s">
        <v>11</v>
      </c>
      <c r="AT1" s="5" t="s">
        <v>4</v>
      </c>
      <c r="AU1" s="4" t="s">
        <v>5</v>
      </c>
      <c r="AV1" s="9" t="s">
        <v>6</v>
      </c>
      <c r="AW1" s="7" t="s">
        <v>7</v>
      </c>
      <c r="AX1" s="5" t="s">
        <v>8</v>
      </c>
      <c r="AY1" s="4" t="s">
        <v>9</v>
      </c>
      <c r="AZ1" s="9" t="s">
        <v>12</v>
      </c>
      <c r="BA1" s="6"/>
      <c r="BB1" s="2"/>
      <c r="BD1" s="9">
        <f t="shared" ref="BD1:BD9" si="1">AA1</f>
        <v>0</v>
      </c>
      <c r="BE1" s="5" t="s">
        <v>0</v>
      </c>
      <c r="BF1" s="4" t="s">
        <v>0</v>
      </c>
      <c r="BG1" t="s">
        <v>35</v>
      </c>
      <c r="BJ1" t="s">
        <v>56</v>
      </c>
      <c r="BK1" t="s">
        <v>68</v>
      </c>
      <c r="BL1" t="s">
        <v>69</v>
      </c>
      <c r="BQ1" t="s">
        <v>49</v>
      </c>
      <c r="BR1" t="s">
        <v>15</v>
      </c>
      <c r="BS1" t="str">
        <f>LEFT(BR1, LEN(BR1)-2) &amp; "1]"</f>
        <v>det22_reg [1]</v>
      </c>
      <c r="BT1" t="s">
        <v>16</v>
      </c>
      <c r="BU1" t="s">
        <v>17</v>
      </c>
      <c r="BV1" t="s">
        <v>14</v>
      </c>
      <c r="BW1" t="s">
        <v>18</v>
      </c>
      <c r="BX1" t="s">
        <v>19</v>
      </c>
      <c r="BY1" t="s">
        <v>20</v>
      </c>
      <c r="BZ1" t="s">
        <v>33</v>
      </c>
      <c r="CA1" t="s">
        <v>34</v>
      </c>
      <c r="CB1" t="s">
        <v>23</v>
      </c>
    </row>
    <row r="2" spans="1:80" x14ac:dyDescent="0.25">
      <c r="A2" s="3">
        <v>0</v>
      </c>
      <c r="B2" s="3"/>
      <c r="C2" s="9"/>
      <c r="D2" s="7"/>
      <c r="E2" s="5"/>
      <c r="F2" s="4"/>
      <c r="G2" s="9"/>
      <c r="I2" s="5"/>
      <c r="J2" s="4"/>
      <c r="K2" s="9"/>
      <c r="Y2" s="9">
        <f t="shared" ref="Y2:Y38" si="2">K2</f>
        <v>0</v>
      </c>
      <c r="Z2" s="5">
        <f t="shared" si="0"/>
        <v>0</v>
      </c>
      <c r="AA2" s="4">
        <f t="shared" si="0"/>
        <v>0</v>
      </c>
      <c r="AB2" t="s">
        <v>71</v>
      </c>
      <c r="AP2" s="3">
        <v>0</v>
      </c>
      <c r="AQ2" s="3"/>
      <c r="AR2" s="9"/>
      <c r="AS2" s="7"/>
      <c r="AT2" s="5"/>
      <c r="AU2" s="4"/>
      <c r="AV2" s="9"/>
      <c r="AW2" s="7"/>
      <c r="AX2" s="5"/>
      <c r="AY2" s="4"/>
      <c r="AZ2" s="9"/>
      <c r="BA2" s="6"/>
      <c r="BB2" s="2"/>
      <c r="BD2" s="9">
        <f t="shared" si="1"/>
        <v>0</v>
      </c>
      <c r="BE2" s="5">
        <f t="shared" ref="BE2:BE9" si="3">AD2</f>
        <v>0</v>
      </c>
      <c r="BF2" s="4"/>
    </row>
    <row r="3" spans="1:80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Y3" s="9">
        <f t="shared" si="2"/>
        <v>0</v>
      </c>
      <c r="Z3" s="5">
        <f t="shared" si="0"/>
        <v>0</v>
      </c>
      <c r="AA3" s="4">
        <f t="shared" si="0"/>
        <v>0</v>
      </c>
      <c r="AP3" s="3">
        <v>1</v>
      </c>
      <c r="AQ3" s="3">
        <v>1</v>
      </c>
      <c r="AR3" s="9" t="s">
        <v>10</v>
      </c>
      <c r="AS3" s="7" t="s">
        <v>10</v>
      </c>
      <c r="AT3" s="5" t="s">
        <v>10</v>
      </c>
      <c r="AU3" s="4" t="s">
        <v>10</v>
      </c>
      <c r="AV3" s="9" t="s">
        <v>10</v>
      </c>
      <c r="AW3" s="7" t="s">
        <v>10</v>
      </c>
      <c r="AX3" s="5" t="s">
        <v>10</v>
      </c>
      <c r="AY3" s="4">
        <v>1</v>
      </c>
      <c r="AZ3" s="9"/>
      <c r="BA3" s="6"/>
      <c r="BB3" s="2"/>
      <c r="BD3" s="9">
        <f t="shared" si="1"/>
        <v>0</v>
      </c>
      <c r="BE3" s="5">
        <f t="shared" si="3"/>
        <v>0</v>
      </c>
      <c r="BF3" s="4">
        <f t="shared" ref="BF3:BF9" si="4">AE3</f>
        <v>0</v>
      </c>
    </row>
    <row r="4" spans="1:80" x14ac:dyDescent="0.25">
      <c r="A4" s="3">
        <v>2</v>
      </c>
      <c r="B4" s="3">
        <v>2</v>
      </c>
      <c r="C4" s="9" t="str">
        <f t="shared" ref="C4:I19" si="5">D3</f>
        <v>X</v>
      </c>
      <c r="D4" s="7" t="str">
        <f t="shared" si="5"/>
        <v>X</v>
      </c>
      <c r="E4" s="5" t="str">
        <f t="shared" si="5"/>
        <v>X</v>
      </c>
      <c r="F4" s="4" t="str">
        <f t="shared" si="5"/>
        <v>X</v>
      </c>
      <c r="G4" s="9" t="str">
        <f t="shared" si="5"/>
        <v>X</v>
      </c>
      <c r="H4" s="7" t="str">
        <f t="shared" si="5"/>
        <v>X</v>
      </c>
      <c r="I4" s="5">
        <f>J3</f>
        <v>1</v>
      </c>
      <c r="J4" s="4">
        <v>2</v>
      </c>
      <c r="K4" s="9"/>
      <c r="Y4" s="9">
        <f t="shared" si="2"/>
        <v>0</v>
      </c>
      <c r="Z4" s="5">
        <f t="shared" si="0"/>
        <v>0</v>
      </c>
      <c r="AA4" s="4">
        <f t="shared" si="0"/>
        <v>0</v>
      </c>
      <c r="AP4" s="3">
        <v>2</v>
      </c>
      <c r="AQ4" s="3">
        <v>2</v>
      </c>
      <c r="AR4" s="9" t="str">
        <f t="shared" ref="AR4:AX19" si="6">AS3</f>
        <v>X</v>
      </c>
      <c r="AS4" s="7" t="str">
        <f t="shared" si="6"/>
        <v>X</v>
      </c>
      <c r="AT4" s="5" t="str">
        <f t="shared" si="6"/>
        <v>X</v>
      </c>
      <c r="AU4" s="4" t="str">
        <f t="shared" si="6"/>
        <v>X</v>
      </c>
      <c r="AV4" s="9" t="str">
        <f t="shared" si="6"/>
        <v>X</v>
      </c>
      <c r="AW4" s="7" t="str">
        <f t="shared" si="6"/>
        <v>X</v>
      </c>
      <c r="AX4" s="5">
        <f>AY3</f>
        <v>1</v>
      </c>
      <c r="AY4" s="4">
        <v>2</v>
      </c>
      <c r="AZ4" s="9"/>
      <c r="BA4" s="6"/>
      <c r="BB4" s="2"/>
      <c r="BD4" s="9">
        <f t="shared" si="1"/>
        <v>0</v>
      </c>
      <c r="BE4" s="5">
        <f t="shared" si="3"/>
        <v>0</v>
      </c>
      <c r="BF4" s="4">
        <f t="shared" si="4"/>
        <v>0</v>
      </c>
    </row>
    <row r="5" spans="1:80" x14ac:dyDescent="0.25">
      <c r="A5" s="3">
        <v>3</v>
      </c>
      <c r="B5" s="3">
        <v>3</v>
      </c>
      <c r="C5" s="9" t="str">
        <f t="shared" si="5"/>
        <v>X</v>
      </c>
      <c r="D5" s="7" t="str">
        <f t="shared" si="5"/>
        <v>X</v>
      </c>
      <c r="E5" s="5" t="str">
        <f t="shared" si="5"/>
        <v>X</v>
      </c>
      <c r="F5" s="4" t="str">
        <f t="shared" si="5"/>
        <v>X</v>
      </c>
      <c r="G5" s="9" t="str">
        <f t="shared" si="5"/>
        <v>X</v>
      </c>
      <c r="H5" s="7">
        <f t="shared" si="5"/>
        <v>1</v>
      </c>
      <c r="I5" s="5">
        <f t="shared" si="5"/>
        <v>2</v>
      </c>
      <c r="J5" s="4">
        <v>3</v>
      </c>
      <c r="K5" s="9"/>
      <c r="Y5" s="9">
        <f t="shared" si="2"/>
        <v>0</v>
      </c>
      <c r="Z5" s="5">
        <f t="shared" si="0"/>
        <v>0</v>
      </c>
      <c r="AA5" s="4">
        <f t="shared" si="0"/>
        <v>0</v>
      </c>
      <c r="AP5" s="3">
        <v>3</v>
      </c>
      <c r="AQ5" s="3">
        <v>3</v>
      </c>
      <c r="AR5" s="9" t="str">
        <f t="shared" si="6"/>
        <v>X</v>
      </c>
      <c r="AS5" s="7" t="str">
        <f t="shared" si="6"/>
        <v>X</v>
      </c>
      <c r="AT5" s="5" t="str">
        <f t="shared" si="6"/>
        <v>X</v>
      </c>
      <c r="AU5" s="4" t="str">
        <f t="shared" si="6"/>
        <v>X</v>
      </c>
      <c r="AV5" s="9" t="str">
        <f t="shared" si="6"/>
        <v>X</v>
      </c>
      <c r="AW5" s="7">
        <f t="shared" si="6"/>
        <v>1</v>
      </c>
      <c r="AX5" s="5">
        <f t="shared" si="6"/>
        <v>2</v>
      </c>
      <c r="AY5" s="4">
        <v>3</v>
      </c>
      <c r="AZ5" s="9"/>
      <c r="BA5" s="6"/>
      <c r="BB5" s="2"/>
      <c r="BD5" s="9">
        <f t="shared" si="1"/>
        <v>0</v>
      </c>
      <c r="BE5" s="5">
        <f t="shared" si="3"/>
        <v>0</v>
      </c>
      <c r="BF5" s="4">
        <f t="shared" si="4"/>
        <v>0</v>
      </c>
    </row>
    <row r="6" spans="1:80" x14ac:dyDescent="0.25">
      <c r="A6" s="3">
        <v>4</v>
      </c>
      <c r="B6" s="3">
        <v>4</v>
      </c>
      <c r="C6" s="9" t="str">
        <f t="shared" si="5"/>
        <v>X</v>
      </c>
      <c r="D6" s="7" t="str">
        <f t="shared" si="5"/>
        <v>X</v>
      </c>
      <c r="E6" s="5" t="str">
        <f t="shared" si="5"/>
        <v>X</v>
      </c>
      <c r="F6" s="4" t="str">
        <f t="shared" si="5"/>
        <v>X</v>
      </c>
      <c r="G6" s="9">
        <f t="shared" si="5"/>
        <v>1</v>
      </c>
      <c r="H6" s="7">
        <f t="shared" si="5"/>
        <v>2</v>
      </c>
      <c r="I6" s="5">
        <f t="shared" si="5"/>
        <v>3</v>
      </c>
      <c r="J6" s="4">
        <v>4</v>
      </c>
      <c r="K6" s="9"/>
      <c r="Y6" s="9">
        <f t="shared" si="2"/>
        <v>0</v>
      </c>
      <c r="Z6" s="5">
        <f t="shared" si="0"/>
        <v>0</v>
      </c>
      <c r="AA6" s="4">
        <f t="shared" si="0"/>
        <v>0</v>
      </c>
      <c r="AP6" s="3">
        <v>4</v>
      </c>
      <c r="AQ6" s="3">
        <v>4</v>
      </c>
      <c r="AR6" s="9" t="str">
        <f t="shared" si="6"/>
        <v>X</v>
      </c>
      <c r="AS6" s="7" t="str">
        <f t="shared" si="6"/>
        <v>X</v>
      </c>
      <c r="AT6" s="5" t="str">
        <f t="shared" si="6"/>
        <v>X</v>
      </c>
      <c r="AU6" s="4" t="str">
        <f t="shared" si="6"/>
        <v>X</v>
      </c>
      <c r="AV6" s="9">
        <f t="shared" si="6"/>
        <v>1</v>
      </c>
      <c r="AW6" s="7">
        <f t="shared" si="6"/>
        <v>2</v>
      </c>
      <c r="AX6" s="5">
        <f t="shared" si="6"/>
        <v>3</v>
      </c>
      <c r="AY6" s="4">
        <v>4</v>
      </c>
      <c r="AZ6" s="9"/>
      <c r="BA6" s="6"/>
      <c r="BB6" s="2"/>
      <c r="BD6" s="9">
        <f t="shared" si="1"/>
        <v>0</v>
      </c>
      <c r="BE6" s="5">
        <f t="shared" si="3"/>
        <v>0</v>
      </c>
      <c r="BF6" s="4">
        <f t="shared" si="4"/>
        <v>0</v>
      </c>
    </row>
    <row r="7" spans="1:80" x14ac:dyDescent="0.25">
      <c r="A7" s="3">
        <v>5</v>
      </c>
      <c r="B7" s="3">
        <v>5</v>
      </c>
      <c r="C7" s="9" t="str">
        <f t="shared" si="5"/>
        <v>X</v>
      </c>
      <c r="D7" s="7" t="str">
        <f t="shared" si="5"/>
        <v>X</v>
      </c>
      <c r="E7" s="5" t="str">
        <f t="shared" si="5"/>
        <v>X</v>
      </c>
      <c r="F7" s="4">
        <f t="shared" si="5"/>
        <v>1</v>
      </c>
      <c r="G7" s="9">
        <f t="shared" si="5"/>
        <v>2</v>
      </c>
      <c r="H7" s="7">
        <f t="shared" si="5"/>
        <v>3</v>
      </c>
      <c r="I7" s="5">
        <f t="shared" si="5"/>
        <v>4</v>
      </c>
      <c r="J7" s="4">
        <v>5</v>
      </c>
      <c r="K7" s="9"/>
      <c r="Y7" s="9">
        <f t="shared" si="2"/>
        <v>0</v>
      </c>
      <c r="Z7" s="5">
        <f t="shared" si="0"/>
        <v>0</v>
      </c>
      <c r="AA7" s="4">
        <f t="shared" si="0"/>
        <v>0</v>
      </c>
      <c r="AP7" s="3">
        <v>5</v>
      </c>
      <c r="AQ7" s="3">
        <v>5</v>
      </c>
      <c r="AR7" s="9" t="str">
        <f t="shared" si="6"/>
        <v>X</v>
      </c>
      <c r="AS7" s="7" t="str">
        <f t="shared" si="6"/>
        <v>X</v>
      </c>
      <c r="AT7" s="5" t="str">
        <f t="shared" si="6"/>
        <v>X</v>
      </c>
      <c r="AU7" s="4">
        <f t="shared" si="6"/>
        <v>1</v>
      </c>
      <c r="AV7" s="9">
        <f t="shared" si="6"/>
        <v>2</v>
      </c>
      <c r="AW7" s="7">
        <f t="shared" si="6"/>
        <v>3</v>
      </c>
      <c r="AX7" s="5">
        <f t="shared" si="6"/>
        <v>4</v>
      </c>
      <c r="AY7" s="4">
        <v>5</v>
      </c>
      <c r="AZ7" s="9"/>
      <c r="BA7" s="6"/>
      <c r="BB7" s="2"/>
      <c r="BD7" s="9">
        <f t="shared" si="1"/>
        <v>0</v>
      </c>
      <c r="BE7" s="5">
        <f t="shared" si="3"/>
        <v>0</v>
      </c>
      <c r="BF7" s="4">
        <f t="shared" si="4"/>
        <v>0</v>
      </c>
    </row>
    <row r="8" spans="1:80" x14ac:dyDescent="0.25">
      <c r="A8" s="3">
        <v>6</v>
      </c>
      <c r="B8" s="3">
        <v>6</v>
      </c>
      <c r="C8" s="9" t="str">
        <f t="shared" si="5"/>
        <v>X</v>
      </c>
      <c r="D8" s="7" t="str">
        <f t="shared" si="5"/>
        <v>X</v>
      </c>
      <c r="E8" s="5">
        <f t="shared" si="5"/>
        <v>1</v>
      </c>
      <c r="F8" s="4">
        <f t="shared" si="5"/>
        <v>2</v>
      </c>
      <c r="G8" s="9">
        <f t="shared" si="5"/>
        <v>3</v>
      </c>
      <c r="H8" s="7">
        <f t="shared" si="5"/>
        <v>4</v>
      </c>
      <c r="I8" s="5">
        <f t="shared" si="5"/>
        <v>5</v>
      </c>
      <c r="J8" s="4">
        <v>6</v>
      </c>
      <c r="K8" s="9"/>
      <c r="Y8" s="9">
        <f t="shared" si="2"/>
        <v>0</v>
      </c>
      <c r="Z8" s="5">
        <f t="shared" si="0"/>
        <v>0</v>
      </c>
      <c r="AA8" s="4">
        <f t="shared" si="0"/>
        <v>0</v>
      </c>
      <c r="AP8" s="3">
        <v>6</v>
      </c>
      <c r="AQ8" s="3">
        <v>6</v>
      </c>
      <c r="AR8" s="9" t="str">
        <f t="shared" si="6"/>
        <v>X</v>
      </c>
      <c r="AS8" s="7" t="str">
        <f t="shared" si="6"/>
        <v>X</v>
      </c>
      <c r="AT8" s="5">
        <f t="shared" si="6"/>
        <v>1</v>
      </c>
      <c r="AU8" s="4">
        <f t="shared" si="6"/>
        <v>2</v>
      </c>
      <c r="AV8" s="9">
        <f t="shared" si="6"/>
        <v>3</v>
      </c>
      <c r="AW8" s="7">
        <f t="shared" si="6"/>
        <v>4</v>
      </c>
      <c r="AX8" s="5">
        <f t="shared" si="6"/>
        <v>5</v>
      </c>
      <c r="AY8" s="4">
        <v>6</v>
      </c>
      <c r="AZ8" s="9"/>
      <c r="BA8" s="6"/>
      <c r="BB8" s="2"/>
      <c r="BD8" s="9">
        <f t="shared" si="1"/>
        <v>0</v>
      </c>
      <c r="BE8" s="5">
        <f t="shared" si="3"/>
        <v>0</v>
      </c>
      <c r="BF8" s="4">
        <f t="shared" si="4"/>
        <v>0</v>
      </c>
    </row>
    <row r="9" spans="1:80" ht="16.5" thickBot="1" x14ac:dyDescent="0.3">
      <c r="A9" s="3">
        <v>7</v>
      </c>
      <c r="B9" s="3">
        <v>7</v>
      </c>
      <c r="C9" s="9" t="str">
        <f t="shared" si="5"/>
        <v>X</v>
      </c>
      <c r="D9" s="7">
        <f t="shared" si="5"/>
        <v>1</v>
      </c>
      <c r="E9" s="5">
        <f t="shared" si="5"/>
        <v>2</v>
      </c>
      <c r="F9" s="4">
        <f t="shared" si="5"/>
        <v>3</v>
      </c>
      <c r="G9" s="9">
        <f t="shared" si="5"/>
        <v>4</v>
      </c>
      <c r="H9" s="7">
        <f t="shared" si="5"/>
        <v>5</v>
      </c>
      <c r="I9" s="5">
        <f t="shared" si="5"/>
        <v>6</v>
      </c>
      <c r="J9" s="4">
        <v>7</v>
      </c>
      <c r="K9" s="9"/>
      <c r="Y9" s="9">
        <f t="shared" si="2"/>
        <v>0</v>
      </c>
      <c r="Z9" s="5">
        <f t="shared" si="0"/>
        <v>0</v>
      </c>
      <c r="AA9" s="4">
        <f t="shared" si="0"/>
        <v>0</v>
      </c>
      <c r="AP9" s="3">
        <v>7</v>
      </c>
      <c r="AQ9" s="3">
        <v>7</v>
      </c>
      <c r="AR9" s="9" t="str">
        <f t="shared" si="6"/>
        <v>X</v>
      </c>
      <c r="AS9" s="7">
        <f t="shared" si="6"/>
        <v>1</v>
      </c>
      <c r="AT9" s="5">
        <f t="shared" si="6"/>
        <v>2</v>
      </c>
      <c r="AU9" s="4">
        <f t="shared" si="6"/>
        <v>3</v>
      </c>
      <c r="AV9" s="9">
        <f t="shared" si="6"/>
        <v>4</v>
      </c>
      <c r="AW9" s="7">
        <f t="shared" si="6"/>
        <v>5</v>
      </c>
      <c r="AX9" s="5">
        <f t="shared" si="6"/>
        <v>6</v>
      </c>
      <c r="AY9" s="4">
        <v>7</v>
      </c>
      <c r="AZ9" s="9"/>
      <c r="BA9" s="6"/>
      <c r="BB9" s="2"/>
      <c r="BD9" s="9">
        <f t="shared" si="1"/>
        <v>0</v>
      </c>
      <c r="BE9" s="5">
        <f t="shared" si="3"/>
        <v>0</v>
      </c>
      <c r="BF9" s="4">
        <f t="shared" si="4"/>
        <v>0</v>
      </c>
    </row>
    <row r="10" spans="1:80" ht="16.5" thickBot="1" x14ac:dyDescent="0.3">
      <c r="A10" s="3">
        <v>8</v>
      </c>
      <c r="B10" s="11">
        <v>8</v>
      </c>
      <c r="C10" s="12">
        <f t="shared" si="5"/>
        <v>1</v>
      </c>
      <c r="D10" s="13">
        <f t="shared" si="5"/>
        <v>2</v>
      </c>
      <c r="E10" s="14">
        <f t="shared" si="5"/>
        <v>3</v>
      </c>
      <c r="F10" s="15">
        <f t="shared" si="5"/>
        <v>4</v>
      </c>
      <c r="G10" s="12">
        <f t="shared" si="5"/>
        <v>5</v>
      </c>
      <c r="H10" s="13">
        <f t="shared" si="5"/>
        <v>6</v>
      </c>
      <c r="I10" s="14">
        <f t="shared" si="5"/>
        <v>7</v>
      </c>
      <c r="J10" s="16">
        <v>8</v>
      </c>
      <c r="K10" s="9" t="str">
        <f>C10 &amp; "," &amp; D10 &amp; CHAR(10) &amp; G10 &amp; "," &amp; H10</f>
        <v>1,2
5,6</v>
      </c>
      <c r="L10" s="6" t="str">
        <f>C10 &amp; "," &amp; E10 &amp; CHAR(10) &amp; G10 &amp; "," &amp; I10</f>
        <v>1,3
5,7</v>
      </c>
      <c r="M10" s="2" t="str">
        <f>C10 &amp; "," &amp; F10 &amp; CHAR(10) &amp; G10 &amp; "," &amp; J10</f>
        <v>1,4
5,8</v>
      </c>
      <c r="Y10" s="9" t="str">
        <f t="shared" si="2"/>
        <v>1,2
5,6</v>
      </c>
      <c r="Z10" s="5" t="str">
        <f t="shared" si="0"/>
        <v>1,3
5,7</v>
      </c>
      <c r="AA10" s="4" t="str">
        <f t="shared" si="0"/>
        <v>1,4
5,8</v>
      </c>
      <c r="AO10" s="17" t="s">
        <v>32</v>
      </c>
      <c r="AP10" s="3">
        <v>8</v>
      </c>
      <c r="AQ10" s="11">
        <v>8</v>
      </c>
      <c r="AR10" s="12">
        <f t="shared" si="6"/>
        <v>1</v>
      </c>
      <c r="AS10" s="13">
        <f t="shared" si="6"/>
        <v>2</v>
      </c>
      <c r="AT10" s="14">
        <f t="shared" si="6"/>
        <v>3</v>
      </c>
      <c r="AU10" s="15">
        <f t="shared" si="6"/>
        <v>4</v>
      </c>
      <c r="AV10" s="12">
        <f t="shared" si="6"/>
        <v>5</v>
      </c>
      <c r="AW10" s="13">
        <f t="shared" si="6"/>
        <v>6</v>
      </c>
      <c r="AX10" s="14">
        <f t="shared" si="6"/>
        <v>7</v>
      </c>
      <c r="AY10" s="16">
        <v>8</v>
      </c>
      <c r="AZ10" s="9" t="str">
        <f>AR10 &amp; "," &amp; AS10 &amp; CHAR(10) &amp; AV10 &amp; "," &amp; AW10</f>
        <v>1,2
5,6</v>
      </c>
      <c r="BA10" s="6" t="str">
        <f>AR10 &amp; "," &amp; AT10 &amp; CHAR(10) &amp; AV10 &amp; "," &amp; AX10</f>
        <v>1,3
5,7</v>
      </c>
      <c r="BB10" s="2" t="str">
        <f>AR10 &amp; "," &amp; AU10 &amp; CHAR(10) &amp; AV10 &amp; "," &amp; AY10</f>
        <v>1,4
5,8</v>
      </c>
      <c r="BD10" s="9" t="str">
        <f>Y10</f>
        <v>1,2
5,6</v>
      </c>
      <c r="BE10" s="5" t="str">
        <f>Z10</f>
        <v>1,3
5,7</v>
      </c>
      <c r="BF10" s="4" t="str">
        <f>AA10</f>
        <v>1,4
5,8</v>
      </c>
      <c r="CB10" s="17" t="s">
        <v>32</v>
      </c>
    </row>
    <row r="11" spans="1:80" x14ac:dyDescent="0.25">
      <c r="A11" s="3">
        <v>9</v>
      </c>
      <c r="B11" s="3">
        <v>9</v>
      </c>
      <c r="C11" s="9">
        <f t="shared" si="5"/>
        <v>2</v>
      </c>
      <c r="D11" s="7">
        <f t="shared" si="5"/>
        <v>3</v>
      </c>
      <c r="E11" s="5">
        <f t="shared" si="5"/>
        <v>4</v>
      </c>
      <c r="F11" s="4">
        <f t="shared" si="5"/>
        <v>5</v>
      </c>
      <c r="G11" s="9">
        <f t="shared" si="5"/>
        <v>6</v>
      </c>
      <c r="H11" s="7">
        <f t="shared" si="5"/>
        <v>7</v>
      </c>
      <c r="I11" s="5">
        <f t="shared" si="5"/>
        <v>8</v>
      </c>
      <c r="J11" s="4">
        <v>9</v>
      </c>
      <c r="K11" s="9" t="str">
        <f t="shared" ref="K11:K20" si="7">C11 &amp; "," &amp; D11 &amp; CHAR(10) &amp; G11 &amp; "," &amp; H11</f>
        <v>2,3
6,7</v>
      </c>
      <c r="L11" s="6" t="str">
        <f t="shared" ref="L11:L15" si="8">C11 &amp; "," &amp; E11 &amp; CHAR(10) &amp; G11 &amp; "," &amp; I11</f>
        <v>2,4
6,8</v>
      </c>
      <c r="W11" t="str">
        <f>K10</f>
        <v>1,2
5,6</v>
      </c>
      <c r="Y11" s="9" t="str">
        <f t="shared" si="2"/>
        <v>2,3
6,7</v>
      </c>
      <c r="Z11" s="5" t="str">
        <f t="shared" si="0"/>
        <v>2,4
6,8</v>
      </c>
      <c r="AA11" s="4">
        <f t="shared" si="0"/>
        <v>0</v>
      </c>
      <c r="AJ11" t="str">
        <f>Y10</f>
        <v>1,2
5,6</v>
      </c>
      <c r="AN11" t="str">
        <f>Z10</f>
        <v>1,3
5,7</v>
      </c>
      <c r="AO11" s="17" t="s">
        <v>31</v>
      </c>
      <c r="AP11" s="3">
        <v>9</v>
      </c>
      <c r="AQ11" s="3">
        <v>9</v>
      </c>
      <c r="AR11" s="9">
        <f t="shared" si="6"/>
        <v>2</v>
      </c>
      <c r="AS11" s="7">
        <f t="shared" si="6"/>
        <v>3</v>
      </c>
      <c r="AT11" s="5">
        <f t="shared" si="6"/>
        <v>4</v>
      </c>
      <c r="AU11" s="4">
        <f t="shared" si="6"/>
        <v>5</v>
      </c>
      <c r="AV11" s="9">
        <f t="shared" si="6"/>
        <v>6</v>
      </c>
      <c r="AW11" s="7">
        <f t="shared" si="6"/>
        <v>7</v>
      </c>
      <c r="AX11" s="5">
        <f t="shared" si="6"/>
        <v>8</v>
      </c>
      <c r="AY11" s="4">
        <v>9</v>
      </c>
      <c r="AZ11" s="9" t="str">
        <f t="shared" ref="AZ11:AZ12" si="9">AR11 &amp; "," &amp; AS11 &amp; CHAR(10) &amp; AV11 &amp; "," &amp; AW11</f>
        <v>2,3
6,7</v>
      </c>
      <c r="BA11" s="6" t="str">
        <f t="shared" ref="BA11" si="10">AR11 &amp; "," &amp; AT11 &amp; CHAR(10) &amp; AV11 &amp; "," &amp; AX11</f>
        <v>2,4
6,8</v>
      </c>
      <c r="BB11" s="2"/>
      <c r="BD11" s="9" t="str">
        <f>Y11</f>
        <v>2,3
6,7</v>
      </c>
      <c r="BE11" s="5" t="str">
        <f>Z11</f>
        <v>2,4
6,8</v>
      </c>
      <c r="BF11" s="4"/>
      <c r="BT11" t="str">
        <f>BD10</f>
        <v>1,2
5,6</v>
      </c>
      <c r="BU11" s="20" t="str">
        <f>BF10</f>
        <v>1,4
5,8</v>
      </c>
      <c r="CA11" t="str">
        <f>BE10</f>
        <v>1,3
5,7</v>
      </c>
      <c r="CB11" s="17" t="s">
        <v>31</v>
      </c>
    </row>
    <row r="12" spans="1:80" ht="16.5" customHeight="1" x14ac:dyDescent="0.25">
      <c r="A12" s="3">
        <v>10</v>
      </c>
      <c r="B12" s="3">
        <v>10</v>
      </c>
      <c r="C12" s="9">
        <f t="shared" si="5"/>
        <v>3</v>
      </c>
      <c r="D12" s="7">
        <f t="shared" si="5"/>
        <v>4</v>
      </c>
      <c r="E12" s="5">
        <f t="shared" si="5"/>
        <v>5</v>
      </c>
      <c r="F12" s="4">
        <f t="shared" si="5"/>
        <v>6</v>
      </c>
      <c r="G12" s="9">
        <f t="shared" si="5"/>
        <v>7</v>
      </c>
      <c r="H12" s="7">
        <f t="shared" si="5"/>
        <v>8</v>
      </c>
      <c r="I12" s="5">
        <f t="shared" si="5"/>
        <v>9</v>
      </c>
      <c r="J12" s="4">
        <v>10</v>
      </c>
      <c r="K12" s="9" t="str">
        <f t="shared" si="7"/>
        <v>3,4
7,8</v>
      </c>
      <c r="N12">
        <f t="shared" ref="N12:V21" si="11">O11</f>
        <v>0</v>
      </c>
      <c r="O12">
        <f t="shared" si="11"/>
        <v>0</v>
      </c>
      <c r="P12">
        <f t="shared" si="11"/>
        <v>0</v>
      </c>
      <c r="Q12">
        <f t="shared" si="11"/>
        <v>0</v>
      </c>
      <c r="R12">
        <f t="shared" si="11"/>
        <v>0</v>
      </c>
      <c r="S12">
        <f t="shared" si="11"/>
        <v>0</v>
      </c>
      <c r="T12">
        <f t="shared" si="11"/>
        <v>0</v>
      </c>
      <c r="U12">
        <f t="shared" si="11"/>
        <v>0</v>
      </c>
      <c r="V12" t="str">
        <f>W11</f>
        <v>1,2
5,6</v>
      </c>
      <c r="W12" t="str">
        <f t="shared" ref="W12:W13" si="12">K11</f>
        <v>2,3
6,7</v>
      </c>
      <c r="Y12" s="9" t="str">
        <f t="shared" si="2"/>
        <v>3,4
7,8</v>
      </c>
      <c r="Z12" s="5">
        <f t="shared" si="0"/>
        <v>0</v>
      </c>
      <c r="AA12" s="4">
        <f t="shared" si="0"/>
        <v>0</v>
      </c>
      <c r="AB12" t="s">
        <v>39</v>
      </c>
      <c r="AD12">
        <f t="shared" ref="AD12:AI22" si="13">AE11</f>
        <v>0</v>
      </c>
      <c r="AE12">
        <f t="shared" si="13"/>
        <v>0</v>
      </c>
      <c r="AF12">
        <f t="shared" si="13"/>
        <v>0</v>
      </c>
      <c r="AG12">
        <f t="shared" si="13"/>
        <v>0</v>
      </c>
      <c r="AH12">
        <f t="shared" si="13"/>
        <v>0</v>
      </c>
      <c r="AI12" t="str">
        <f t="shared" si="13"/>
        <v>1,2
5,6</v>
      </c>
      <c r="AJ12" t="str">
        <f>Y11</f>
        <v>2,3
6,7</v>
      </c>
      <c r="AK12">
        <f t="shared" ref="AK12:AM16" si="14">AL11</f>
        <v>0</v>
      </c>
      <c r="AL12">
        <f t="shared" si="14"/>
        <v>0</v>
      </c>
      <c r="AM12" t="str">
        <f>AN11</f>
        <v>1,3
5,7</v>
      </c>
      <c r="AN12" t="str">
        <f>Z11</f>
        <v>2,4
6,8</v>
      </c>
      <c r="AO12" s="17" t="s">
        <v>30</v>
      </c>
      <c r="AP12" s="3">
        <v>10</v>
      </c>
      <c r="AQ12" s="3">
        <v>10</v>
      </c>
      <c r="AR12" s="9">
        <f t="shared" si="6"/>
        <v>3</v>
      </c>
      <c r="AS12" s="7">
        <f t="shared" si="6"/>
        <v>4</v>
      </c>
      <c r="AT12" s="5">
        <f t="shared" si="6"/>
        <v>5</v>
      </c>
      <c r="AU12" s="4">
        <f t="shared" si="6"/>
        <v>6</v>
      </c>
      <c r="AV12" s="9">
        <f t="shared" si="6"/>
        <v>7</v>
      </c>
      <c r="AW12" s="7">
        <f t="shared" si="6"/>
        <v>8</v>
      </c>
      <c r="AX12" s="5">
        <f t="shared" si="6"/>
        <v>9</v>
      </c>
      <c r="AY12" s="4">
        <v>10</v>
      </c>
      <c r="AZ12" s="9" t="str">
        <f t="shared" si="9"/>
        <v>3,4
7,8</v>
      </c>
      <c r="BA12" s="6"/>
      <c r="BB12" s="2"/>
      <c r="BD12" s="9" t="str">
        <f>Y12</f>
        <v>3,4
7,8</v>
      </c>
      <c r="BE12" s="5">
        <f>AD12</f>
        <v>0</v>
      </c>
      <c r="BF12" s="4"/>
      <c r="BG12" s="22" t="s">
        <v>37</v>
      </c>
      <c r="BI12" s="22" t="s">
        <v>37</v>
      </c>
      <c r="BK12" s="10"/>
      <c r="BL12" s="22"/>
      <c r="BM12" t="s">
        <v>0</v>
      </c>
      <c r="BR12">
        <f>BS11</f>
        <v>0</v>
      </c>
      <c r="BS12" t="str">
        <f>BT11</f>
        <v>1,2
5,6</v>
      </c>
      <c r="BT12" t="str">
        <f>BD11</f>
        <v>2,3
6,7</v>
      </c>
      <c r="BY12">
        <f>BZ11</f>
        <v>0</v>
      </c>
      <c r="BZ12" t="str">
        <f>CA11</f>
        <v>1,3
5,7</v>
      </c>
      <c r="CA12" t="str">
        <f>BE11</f>
        <v>2,4
6,8</v>
      </c>
      <c r="CB12" s="17" t="s">
        <v>30</v>
      </c>
    </row>
    <row r="13" spans="1:80" x14ac:dyDescent="0.25">
      <c r="A13" s="3">
        <v>11</v>
      </c>
      <c r="B13" s="3">
        <v>11</v>
      </c>
      <c r="C13" s="9">
        <f t="shared" si="5"/>
        <v>4</v>
      </c>
      <c r="D13" s="7">
        <f t="shared" si="5"/>
        <v>5</v>
      </c>
      <c r="E13" s="5">
        <f t="shared" si="5"/>
        <v>6</v>
      </c>
      <c r="F13" s="4">
        <f t="shared" si="5"/>
        <v>7</v>
      </c>
      <c r="G13" s="9">
        <f t="shared" si="5"/>
        <v>8</v>
      </c>
      <c r="H13" s="7">
        <f t="shared" si="5"/>
        <v>9</v>
      </c>
      <c r="I13" s="5">
        <f t="shared" si="5"/>
        <v>10</v>
      </c>
      <c r="J13" s="4">
        <v>11</v>
      </c>
      <c r="K13" s="9" t="s">
        <v>0</v>
      </c>
      <c r="N13">
        <f t="shared" si="11"/>
        <v>0</v>
      </c>
      <c r="O13">
        <f t="shared" si="11"/>
        <v>0</v>
      </c>
      <c r="P13">
        <f t="shared" si="11"/>
        <v>0</v>
      </c>
      <c r="Q13">
        <f t="shared" si="11"/>
        <v>0</v>
      </c>
      <c r="R13">
        <f t="shared" si="11"/>
        <v>0</v>
      </c>
      <c r="S13">
        <f t="shared" si="11"/>
        <v>0</v>
      </c>
      <c r="T13">
        <f t="shared" si="11"/>
        <v>0</v>
      </c>
      <c r="U13" t="str">
        <f t="shared" si="11"/>
        <v>1,2
5,6</v>
      </c>
      <c r="V13" t="str">
        <f t="shared" si="11"/>
        <v>2,3
6,7</v>
      </c>
      <c r="W13" t="str">
        <f t="shared" si="12"/>
        <v>3,4
7,8</v>
      </c>
      <c r="Y13" s="9" t="s">
        <v>0</v>
      </c>
      <c r="Z13" s="5">
        <f t="shared" si="0"/>
        <v>0</v>
      </c>
      <c r="AA13" s="4">
        <f t="shared" si="0"/>
        <v>0</v>
      </c>
      <c r="AB13" t="s">
        <v>42</v>
      </c>
      <c r="AC13" t="s">
        <v>40</v>
      </c>
      <c r="AD13">
        <f t="shared" si="13"/>
        <v>0</v>
      </c>
      <c r="AE13">
        <f t="shared" si="13"/>
        <v>0</v>
      </c>
      <c r="AF13">
        <f t="shared" si="13"/>
        <v>0</v>
      </c>
      <c r="AG13">
        <f t="shared" si="13"/>
        <v>0</v>
      </c>
      <c r="AH13" t="str">
        <f t="shared" si="13"/>
        <v>1,2
5,6</v>
      </c>
      <c r="AI13" t="str">
        <f t="shared" si="13"/>
        <v>2,3
6,7</v>
      </c>
      <c r="AJ13" t="str">
        <f>Y12</f>
        <v>3,4
7,8</v>
      </c>
      <c r="AK13">
        <f t="shared" si="14"/>
        <v>0</v>
      </c>
      <c r="AL13">
        <f t="shared" ref="AL13:AN14" si="15">AL12</f>
        <v>0</v>
      </c>
      <c r="AM13" t="str">
        <f t="shared" si="15"/>
        <v>1,3
5,7</v>
      </c>
      <c r="AN13" t="str">
        <f t="shared" si="15"/>
        <v>2,4
6,8</v>
      </c>
      <c r="AO13" t="s">
        <v>29</v>
      </c>
      <c r="AP13" s="3">
        <v>11</v>
      </c>
      <c r="AQ13" s="3">
        <v>11</v>
      </c>
      <c r="AR13" s="9">
        <f t="shared" si="6"/>
        <v>4</v>
      </c>
      <c r="AS13" s="7">
        <f t="shared" si="6"/>
        <v>5</v>
      </c>
      <c r="AT13" s="5">
        <f t="shared" si="6"/>
        <v>6</v>
      </c>
      <c r="AU13" s="4">
        <f t="shared" si="6"/>
        <v>7</v>
      </c>
      <c r="AV13" s="9">
        <f t="shared" si="6"/>
        <v>8</v>
      </c>
      <c r="AW13" s="7">
        <f t="shared" si="6"/>
        <v>9</v>
      </c>
      <c r="AX13" s="5">
        <f t="shared" si="6"/>
        <v>10</v>
      </c>
      <c r="AY13" s="4">
        <v>11</v>
      </c>
      <c r="AZ13" s="9" t="s">
        <v>0</v>
      </c>
      <c r="BA13" s="6"/>
      <c r="BB13" s="2"/>
      <c r="BD13" s="9" t="s">
        <v>0</v>
      </c>
      <c r="BE13" s="5">
        <f>AD13</f>
        <v>0</v>
      </c>
      <c r="BF13" s="4"/>
      <c r="BG13" s="10" t="s">
        <v>50</v>
      </c>
      <c r="BH13" s="6" t="s">
        <v>55</v>
      </c>
      <c r="BI13" s="6" t="s">
        <v>55</v>
      </c>
      <c r="BJ13" s="22" t="s">
        <v>37</v>
      </c>
      <c r="BK13" s="10"/>
      <c r="BL13" s="22"/>
      <c r="BR13" s="10" t="str">
        <f>BS12</f>
        <v>1,2
5,6</v>
      </c>
      <c r="BS13" s="10" t="str">
        <f>BT12</f>
        <v>2,3
6,7</v>
      </c>
      <c r="BT13" s="10" t="str">
        <f>BD12</f>
        <v>3,4
7,8</v>
      </c>
      <c r="BY13">
        <f t="shared" ref="BY13:CA14" si="16">BY12</f>
        <v>0</v>
      </c>
      <c r="BZ13" t="str">
        <f t="shared" si="16"/>
        <v>1,3
5,7</v>
      </c>
      <c r="CA13" t="str">
        <f t="shared" si="16"/>
        <v>2,4
6,8</v>
      </c>
      <c r="CB13" t="s">
        <v>29</v>
      </c>
    </row>
    <row r="14" spans="1:80" x14ac:dyDescent="0.25">
      <c r="A14" s="3">
        <v>12</v>
      </c>
      <c r="B14" s="3">
        <v>12</v>
      </c>
      <c r="C14" s="9">
        <f t="shared" si="5"/>
        <v>5</v>
      </c>
      <c r="D14" s="7">
        <f t="shared" si="5"/>
        <v>6</v>
      </c>
      <c r="E14" s="5">
        <f t="shared" si="5"/>
        <v>7</v>
      </c>
      <c r="F14" s="4">
        <f t="shared" si="5"/>
        <v>8</v>
      </c>
      <c r="G14" s="9">
        <f t="shared" si="5"/>
        <v>9</v>
      </c>
      <c r="H14" s="7">
        <f t="shared" si="5"/>
        <v>10</v>
      </c>
      <c r="I14" s="5">
        <f t="shared" si="5"/>
        <v>11</v>
      </c>
      <c r="J14" s="4">
        <v>12</v>
      </c>
      <c r="K14" s="9" t="str">
        <f t="shared" si="7"/>
        <v>5,6
9,10</v>
      </c>
      <c r="L14" s="6" t="str">
        <f t="shared" si="8"/>
        <v>5,7
9,11</v>
      </c>
      <c r="N14">
        <f t="shared" ref="N14:V14" si="17">N13</f>
        <v>0</v>
      </c>
      <c r="O14">
        <f t="shared" si="17"/>
        <v>0</v>
      </c>
      <c r="P14">
        <f t="shared" si="17"/>
        <v>0</v>
      </c>
      <c r="Q14">
        <f t="shared" si="17"/>
        <v>0</v>
      </c>
      <c r="R14">
        <f t="shared" si="17"/>
        <v>0</v>
      </c>
      <c r="S14">
        <f t="shared" si="17"/>
        <v>0</v>
      </c>
      <c r="T14">
        <f t="shared" si="17"/>
        <v>0</v>
      </c>
      <c r="U14" t="str">
        <f t="shared" si="17"/>
        <v>1,2
5,6</v>
      </c>
      <c r="V14" t="str">
        <f t="shared" si="17"/>
        <v>2,3
6,7</v>
      </c>
      <c r="W14" t="str">
        <f>W13</f>
        <v>3,4
7,8</v>
      </c>
      <c r="Y14" s="9" t="str">
        <f t="shared" si="2"/>
        <v>5,6
9,10</v>
      </c>
      <c r="Z14" s="5" t="str">
        <f t="shared" si="0"/>
        <v>5,7
9,11</v>
      </c>
      <c r="AA14" s="4">
        <f t="shared" si="0"/>
        <v>0</v>
      </c>
      <c r="AC14" t="s">
        <v>41</v>
      </c>
      <c r="AD14">
        <f t="shared" ref="AD14:AJ14" si="18">AD13</f>
        <v>0</v>
      </c>
      <c r="AE14">
        <f t="shared" si="18"/>
        <v>0</v>
      </c>
      <c r="AF14">
        <f t="shared" si="18"/>
        <v>0</v>
      </c>
      <c r="AG14">
        <f t="shared" si="18"/>
        <v>0</v>
      </c>
      <c r="AH14" t="str">
        <f t="shared" si="18"/>
        <v>1,2
5,6</v>
      </c>
      <c r="AI14" t="str">
        <f t="shared" si="18"/>
        <v>2,3
6,7</v>
      </c>
      <c r="AJ14" t="str">
        <f t="shared" si="18"/>
        <v>3,4
7,8</v>
      </c>
      <c r="AK14">
        <f t="shared" si="14"/>
        <v>0</v>
      </c>
      <c r="AL14">
        <f t="shared" si="15"/>
        <v>0</v>
      </c>
      <c r="AM14" t="str">
        <f t="shared" si="15"/>
        <v>1,3
5,7</v>
      </c>
      <c r="AN14" t="str">
        <f t="shared" si="15"/>
        <v>2,4
6,8</v>
      </c>
      <c r="AO14" s="17" t="s">
        <v>28</v>
      </c>
      <c r="AP14" s="3">
        <v>12</v>
      </c>
      <c r="AQ14" s="3">
        <v>12</v>
      </c>
      <c r="AR14" s="9">
        <f t="shared" si="6"/>
        <v>5</v>
      </c>
      <c r="AS14" s="7">
        <f t="shared" si="6"/>
        <v>6</v>
      </c>
      <c r="AT14" s="5">
        <f t="shared" si="6"/>
        <v>7</v>
      </c>
      <c r="AU14" s="4">
        <f t="shared" si="6"/>
        <v>8</v>
      </c>
      <c r="AV14" s="9">
        <f t="shared" si="6"/>
        <v>9</v>
      </c>
      <c r="AW14" s="7">
        <f t="shared" si="6"/>
        <v>10</v>
      </c>
      <c r="AX14" s="5">
        <f t="shared" si="6"/>
        <v>11</v>
      </c>
      <c r="AY14" s="4">
        <v>12</v>
      </c>
      <c r="AZ14" s="9" t="str">
        <f t="shared" ref="AZ14:AZ16" si="19">AR14 &amp; "," &amp; AS14 &amp; CHAR(10) &amp; AV14 &amp; "," &amp; AW14</f>
        <v>5,6
9,10</v>
      </c>
      <c r="BA14" s="6" t="str">
        <f t="shared" ref="BA14:BA15" si="20">AR14 &amp; "," &amp; AT14 &amp; CHAR(10) &amp; AV14 &amp; "," &amp; AX14</f>
        <v>5,7
9,11</v>
      </c>
      <c r="BB14" s="2"/>
      <c r="BD14" s="9">
        <f>AA14</f>
        <v>0</v>
      </c>
      <c r="BE14" s="5" t="str">
        <f>Z14</f>
        <v>5,7
9,11</v>
      </c>
      <c r="BF14" s="4"/>
      <c r="BG14" s="2" t="s">
        <v>51</v>
      </c>
      <c r="BH14" s="10" t="s">
        <v>54</v>
      </c>
      <c r="BI14" s="10" t="s">
        <v>50</v>
      </c>
      <c r="BJ14" s="26" t="s">
        <v>57</v>
      </c>
      <c r="BK14" s="26" t="s">
        <v>81</v>
      </c>
      <c r="BL14" s="22"/>
      <c r="BY14">
        <f t="shared" si="16"/>
        <v>0</v>
      </c>
      <c r="BZ14" t="str">
        <f t="shared" si="16"/>
        <v>1,3
5,7</v>
      </c>
      <c r="CA14" t="str">
        <f t="shared" si="16"/>
        <v>2,4
6,8</v>
      </c>
      <c r="CB14" s="17" t="s">
        <v>28</v>
      </c>
    </row>
    <row r="15" spans="1:80" x14ac:dyDescent="0.25">
      <c r="A15" s="3">
        <v>13</v>
      </c>
      <c r="B15" s="3">
        <v>13</v>
      </c>
      <c r="C15" s="9">
        <f t="shared" si="5"/>
        <v>6</v>
      </c>
      <c r="D15" s="7">
        <f t="shared" si="5"/>
        <v>7</v>
      </c>
      <c r="E15" s="5">
        <f t="shared" si="5"/>
        <v>8</v>
      </c>
      <c r="F15" s="4">
        <f t="shared" si="5"/>
        <v>9</v>
      </c>
      <c r="G15" s="9">
        <f t="shared" si="5"/>
        <v>10</v>
      </c>
      <c r="H15" s="7">
        <f t="shared" si="5"/>
        <v>11</v>
      </c>
      <c r="I15" s="5">
        <f t="shared" si="5"/>
        <v>12</v>
      </c>
      <c r="J15" s="4">
        <v>13</v>
      </c>
      <c r="K15" s="9" t="str">
        <f t="shared" si="7"/>
        <v>6,7
10,11</v>
      </c>
      <c r="L15" s="6" t="str">
        <f t="shared" si="8"/>
        <v>6,8
10,12</v>
      </c>
      <c r="N15">
        <f t="shared" ref="N15:V17" si="21">O14</f>
        <v>0</v>
      </c>
      <c r="O15">
        <f t="shared" si="21"/>
        <v>0</v>
      </c>
      <c r="P15">
        <f t="shared" si="21"/>
        <v>0</v>
      </c>
      <c r="Q15">
        <f t="shared" si="21"/>
        <v>0</v>
      </c>
      <c r="R15">
        <f t="shared" si="21"/>
        <v>0</v>
      </c>
      <c r="S15">
        <f t="shared" si="21"/>
        <v>0</v>
      </c>
      <c r="T15" t="str">
        <f t="shared" si="21"/>
        <v>1,2
5,6</v>
      </c>
      <c r="U15" t="str">
        <f t="shared" si="21"/>
        <v>2,3
6,7</v>
      </c>
      <c r="V15" t="str">
        <f>W14</f>
        <v>3,4
7,8</v>
      </c>
      <c r="W15" s="1" t="str">
        <f>K14</f>
        <v>5,6
9,10</v>
      </c>
      <c r="Y15" s="9" t="str">
        <f t="shared" si="2"/>
        <v>6,7
10,11</v>
      </c>
      <c r="Z15" s="5" t="str">
        <f t="shared" si="0"/>
        <v>6,8
10,12</v>
      </c>
      <c r="AA15" s="4">
        <f t="shared" si="0"/>
        <v>0</v>
      </c>
      <c r="AD15">
        <f t="shared" ref="AD15:AI17" si="22">AE14</f>
        <v>0</v>
      </c>
      <c r="AE15">
        <f t="shared" si="22"/>
        <v>0</v>
      </c>
      <c r="AF15">
        <f t="shared" si="22"/>
        <v>0</v>
      </c>
      <c r="AG15" t="str">
        <f t="shared" si="22"/>
        <v>1,2
5,6</v>
      </c>
      <c r="AH15" t="str">
        <f t="shared" si="22"/>
        <v>2,3
6,7</v>
      </c>
      <c r="AI15" t="str">
        <f t="shared" si="22"/>
        <v>3,4
7,8</v>
      </c>
      <c r="AJ15" t="str">
        <f>Y14</f>
        <v>5,6
9,10</v>
      </c>
      <c r="AK15">
        <f t="shared" si="14"/>
        <v>0</v>
      </c>
      <c r="AL15" t="str">
        <f t="shared" si="14"/>
        <v>1,3
5,7</v>
      </c>
      <c r="AM15" t="str">
        <f t="shared" si="14"/>
        <v>2,4
6,8</v>
      </c>
      <c r="AN15" t="str">
        <f>Z14</f>
        <v>5,7
9,11</v>
      </c>
      <c r="AO15" s="17" t="s">
        <v>27</v>
      </c>
      <c r="AP15" s="3">
        <v>13</v>
      </c>
      <c r="AQ15" s="3">
        <v>13</v>
      </c>
      <c r="AR15" s="9">
        <f t="shared" si="6"/>
        <v>6</v>
      </c>
      <c r="AS15" s="7">
        <f t="shared" si="6"/>
        <v>7</v>
      </c>
      <c r="AT15" s="5">
        <f t="shared" si="6"/>
        <v>8</v>
      </c>
      <c r="AU15" s="4">
        <f t="shared" si="6"/>
        <v>9</v>
      </c>
      <c r="AV15" s="9">
        <f t="shared" si="6"/>
        <v>10</v>
      </c>
      <c r="AW15" s="7">
        <f t="shared" si="6"/>
        <v>11</v>
      </c>
      <c r="AX15" s="5">
        <f t="shared" si="6"/>
        <v>12</v>
      </c>
      <c r="AY15" s="4">
        <v>13</v>
      </c>
      <c r="AZ15" s="9" t="str">
        <f t="shared" si="19"/>
        <v>6,7
10,11</v>
      </c>
      <c r="BA15" s="6" t="str">
        <f t="shared" si="20"/>
        <v>6,8
10,12</v>
      </c>
      <c r="BB15" s="2"/>
      <c r="BD15" s="9">
        <f>AA15</f>
        <v>0</v>
      </c>
      <c r="BE15" s="5" t="str">
        <f>Z15</f>
        <v>6,8
10,12</v>
      </c>
      <c r="BF15" s="4"/>
      <c r="BG15" s="21" t="s">
        <v>38</v>
      </c>
      <c r="BH15" s="2" t="s">
        <v>53</v>
      </c>
      <c r="BI15" s="10" t="s">
        <v>54</v>
      </c>
      <c r="BJ15" s="10" t="s">
        <v>50</v>
      </c>
      <c r="BK15" s="26" t="s">
        <v>81</v>
      </c>
      <c r="BL15" s="26" t="s">
        <v>63</v>
      </c>
      <c r="BY15" t="str">
        <f>BZ14</f>
        <v>1,3
5,7</v>
      </c>
      <c r="BZ15" t="str">
        <f>CA14</f>
        <v>2,4
6,8</v>
      </c>
      <c r="CA15" t="str">
        <f>BE14</f>
        <v>5,7
9,11</v>
      </c>
      <c r="CB15" s="17" t="s">
        <v>27</v>
      </c>
    </row>
    <row r="16" spans="1:80" x14ac:dyDescent="0.25">
      <c r="A16" s="3">
        <v>14</v>
      </c>
      <c r="B16" s="3">
        <v>14</v>
      </c>
      <c r="C16" s="9">
        <f t="shared" si="5"/>
        <v>7</v>
      </c>
      <c r="D16" s="7">
        <f t="shared" si="5"/>
        <v>8</v>
      </c>
      <c r="E16" s="5">
        <f t="shared" si="5"/>
        <v>9</v>
      </c>
      <c r="F16" s="4">
        <f t="shared" si="5"/>
        <v>10</v>
      </c>
      <c r="G16" s="9">
        <f t="shared" si="5"/>
        <v>11</v>
      </c>
      <c r="H16" s="7">
        <f t="shared" si="5"/>
        <v>12</v>
      </c>
      <c r="I16" s="5">
        <f t="shared" si="5"/>
        <v>13</v>
      </c>
      <c r="J16" s="4">
        <v>14</v>
      </c>
      <c r="K16" s="9" t="str">
        <f t="shared" si="7"/>
        <v>7,8
11,12</v>
      </c>
      <c r="N16">
        <f t="shared" si="21"/>
        <v>0</v>
      </c>
      <c r="O16">
        <f t="shared" si="21"/>
        <v>0</v>
      </c>
      <c r="P16">
        <f t="shared" si="21"/>
        <v>0</v>
      </c>
      <c r="Q16">
        <f t="shared" si="21"/>
        <v>0</v>
      </c>
      <c r="R16">
        <f t="shared" si="21"/>
        <v>0</v>
      </c>
      <c r="S16" t="str">
        <f t="shared" si="21"/>
        <v>1,2
5,6</v>
      </c>
      <c r="T16" t="str">
        <f t="shared" si="21"/>
        <v>2,3
6,7</v>
      </c>
      <c r="U16" t="str">
        <f t="shared" si="21"/>
        <v>3,4
7,8</v>
      </c>
      <c r="V16" t="str">
        <f t="shared" si="21"/>
        <v>5,6
9,10</v>
      </c>
      <c r="W16" t="str">
        <f>K15</f>
        <v>6,7
10,11</v>
      </c>
      <c r="Y16" s="9" t="str">
        <f t="shared" si="2"/>
        <v>7,8
11,12</v>
      </c>
      <c r="Z16" s="5">
        <f t="shared" si="0"/>
        <v>0</v>
      </c>
      <c r="AA16" s="4">
        <f t="shared" si="0"/>
        <v>0</v>
      </c>
      <c r="AB16" t="s">
        <v>43</v>
      </c>
      <c r="AD16">
        <f t="shared" si="22"/>
        <v>0</v>
      </c>
      <c r="AE16">
        <f t="shared" si="22"/>
        <v>0</v>
      </c>
      <c r="AF16" t="str">
        <f t="shared" si="22"/>
        <v>1,2
5,6</v>
      </c>
      <c r="AG16" t="str">
        <f t="shared" si="22"/>
        <v>2,3
6,7</v>
      </c>
      <c r="AH16" t="str">
        <f t="shared" si="22"/>
        <v>3,4
7,8</v>
      </c>
      <c r="AI16" t="str">
        <f t="shared" si="22"/>
        <v>5,6
9,10</v>
      </c>
      <c r="AJ16" t="str">
        <f>Y15</f>
        <v>6,7
10,11</v>
      </c>
      <c r="AK16" s="19" t="str">
        <f t="shared" si="14"/>
        <v>1,3
5,7</v>
      </c>
      <c r="AL16" s="19" t="str">
        <f t="shared" si="14"/>
        <v>2,4
6,8</v>
      </c>
      <c r="AM16" s="19" t="str">
        <f t="shared" si="14"/>
        <v>5,7
9,11</v>
      </c>
      <c r="AN16" s="19" t="str">
        <f>Z15</f>
        <v>6,8
10,12</v>
      </c>
      <c r="AO16" s="17" t="s">
        <v>26</v>
      </c>
      <c r="AP16" s="3">
        <v>14</v>
      </c>
      <c r="AQ16" s="3">
        <v>14</v>
      </c>
      <c r="AR16" s="9">
        <f t="shared" si="6"/>
        <v>7</v>
      </c>
      <c r="AS16" s="7">
        <f t="shared" si="6"/>
        <v>8</v>
      </c>
      <c r="AT16" s="5">
        <f t="shared" si="6"/>
        <v>9</v>
      </c>
      <c r="AU16" s="4">
        <f t="shared" si="6"/>
        <v>10</v>
      </c>
      <c r="AV16" s="9">
        <f t="shared" si="6"/>
        <v>11</v>
      </c>
      <c r="AW16" s="7">
        <f t="shared" si="6"/>
        <v>12</v>
      </c>
      <c r="AX16" s="5">
        <f t="shared" si="6"/>
        <v>13</v>
      </c>
      <c r="AY16" s="4">
        <v>14</v>
      </c>
      <c r="AZ16" s="9" t="str">
        <f t="shared" si="19"/>
        <v>7,8
11,12</v>
      </c>
      <c r="BA16" s="6"/>
      <c r="BB16" s="2"/>
      <c r="BD16" s="9">
        <f>AA16</f>
        <v>0</v>
      </c>
      <c r="BE16" s="5"/>
      <c r="BF16" s="4"/>
      <c r="BG16" s="21"/>
      <c r="BH16" s="23" t="s">
        <v>52</v>
      </c>
      <c r="BI16" s="2" t="s">
        <v>51</v>
      </c>
      <c r="BJ16" s="24" t="s">
        <v>58</v>
      </c>
      <c r="BK16" s="10" t="s">
        <v>82</v>
      </c>
      <c r="BL16" s="26" t="s">
        <v>63</v>
      </c>
      <c r="BX16" s="19" t="str">
        <f>BY15</f>
        <v>1,3
5,7</v>
      </c>
      <c r="BY16" s="19" t="str">
        <f>BZ15</f>
        <v>2,4
6,8</v>
      </c>
      <c r="BZ16" s="19" t="str">
        <f>CA15</f>
        <v>5,7
9,11</v>
      </c>
      <c r="CA16" s="19" t="str">
        <f>BE15</f>
        <v>6,8
10,12</v>
      </c>
      <c r="CB16" s="17" t="s">
        <v>26</v>
      </c>
    </row>
    <row r="17" spans="1:80" x14ac:dyDescent="0.25">
      <c r="A17" s="3">
        <v>15</v>
      </c>
      <c r="B17" s="3">
        <v>15</v>
      </c>
      <c r="C17" s="9">
        <f t="shared" si="5"/>
        <v>8</v>
      </c>
      <c r="D17" s="7">
        <f t="shared" si="5"/>
        <v>9</v>
      </c>
      <c r="E17" s="5">
        <f t="shared" si="5"/>
        <v>10</v>
      </c>
      <c r="F17" s="4">
        <f t="shared" si="5"/>
        <v>11</v>
      </c>
      <c r="G17" s="9">
        <f t="shared" si="5"/>
        <v>12</v>
      </c>
      <c r="H17" s="7">
        <f t="shared" si="5"/>
        <v>13</v>
      </c>
      <c r="I17" s="5">
        <f t="shared" si="5"/>
        <v>14</v>
      </c>
      <c r="J17" s="4">
        <v>15</v>
      </c>
      <c r="K17" s="9" t="s">
        <v>0</v>
      </c>
      <c r="N17">
        <f t="shared" si="21"/>
        <v>0</v>
      </c>
      <c r="O17">
        <f t="shared" si="21"/>
        <v>0</v>
      </c>
      <c r="P17">
        <f t="shared" si="21"/>
        <v>0</v>
      </c>
      <c r="Q17">
        <f t="shared" si="21"/>
        <v>0</v>
      </c>
      <c r="R17" t="str">
        <f t="shared" si="21"/>
        <v>1,2
5,6</v>
      </c>
      <c r="S17" t="str">
        <f t="shared" si="21"/>
        <v>2,3
6,7</v>
      </c>
      <c r="T17" t="str">
        <f t="shared" si="21"/>
        <v>3,4
7,8</v>
      </c>
      <c r="U17" t="str">
        <f t="shared" si="21"/>
        <v>5,6
9,10</v>
      </c>
      <c r="V17" t="str">
        <f t="shared" si="21"/>
        <v>6,7
10,11</v>
      </c>
      <c r="W17" t="str">
        <f>K16</f>
        <v>7,8
11,12</v>
      </c>
      <c r="Y17" s="9" t="s">
        <v>0</v>
      </c>
      <c r="Z17" s="5">
        <f t="shared" ref="Z17:AA38" si="23">L17</f>
        <v>0</v>
      </c>
      <c r="AA17" s="4">
        <f t="shared" si="23"/>
        <v>0</v>
      </c>
      <c r="AB17" t="s">
        <v>44</v>
      </c>
      <c r="AC17" t="s">
        <v>46</v>
      </c>
      <c r="AD17">
        <f t="shared" si="22"/>
        <v>0</v>
      </c>
      <c r="AE17" s="10" t="str">
        <f t="shared" si="22"/>
        <v>1,2
5,6</v>
      </c>
      <c r="AF17" s="10" t="str">
        <f t="shared" si="22"/>
        <v>2,3
6,7</v>
      </c>
      <c r="AG17" s="10" t="str">
        <f t="shared" si="22"/>
        <v>3,4
7,8</v>
      </c>
      <c r="AH17" s="10" t="str">
        <f t="shared" si="22"/>
        <v>5,6
9,10</v>
      </c>
      <c r="AI17" s="10" t="str">
        <f t="shared" si="22"/>
        <v>6,7
10,11</v>
      </c>
      <c r="AJ17" s="10" t="str">
        <f>Y16</f>
        <v>7,8
11,12</v>
      </c>
      <c r="AO17" t="s">
        <v>25</v>
      </c>
      <c r="AP17" s="3">
        <v>15</v>
      </c>
      <c r="AQ17" s="3">
        <v>15</v>
      </c>
      <c r="AR17" s="9">
        <f t="shared" si="6"/>
        <v>8</v>
      </c>
      <c r="AS17" s="7">
        <f t="shared" si="6"/>
        <v>9</v>
      </c>
      <c r="AT17" s="5">
        <f t="shared" si="6"/>
        <v>10</v>
      </c>
      <c r="AU17" s="4">
        <f t="shared" si="6"/>
        <v>11</v>
      </c>
      <c r="AV17" s="9">
        <f t="shared" si="6"/>
        <v>12</v>
      </c>
      <c r="AW17" s="7">
        <f t="shared" si="6"/>
        <v>13</v>
      </c>
      <c r="AX17" s="5">
        <f t="shared" si="6"/>
        <v>14</v>
      </c>
      <c r="AY17" s="4">
        <v>15</v>
      </c>
      <c r="AZ17" s="9" t="s">
        <v>0</v>
      </c>
      <c r="BA17" s="6"/>
      <c r="BB17" s="2"/>
      <c r="BD17" s="9" t="s">
        <v>0</v>
      </c>
      <c r="BE17" s="5"/>
      <c r="BF17" s="4"/>
      <c r="BG17" s="21"/>
      <c r="BH17" s="2"/>
      <c r="BI17" s="2" t="s">
        <v>53</v>
      </c>
      <c r="BJ17" s="2" t="s">
        <v>51</v>
      </c>
      <c r="BK17" s="10" t="s">
        <v>82</v>
      </c>
      <c r="BL17" s="10" t="s">
        <v>65</v>
      </c>
      <c r="CB17" t="s">
        <v>25</v>
      </c>
    </row>
    <row r="18" spans="1:80" x14ac:dyDescent="0.25">
      <c r="A18" s="3">
        <v>16</v>
      </c>
      <c r="B18" s="3">
        <v>16</v>
      </c>
      <c r="C18" s="9">
        <f t="shared" si="5"/>
        <v>9</v>
      </c>
      <c r="D18" s="7">
        <f t="shared" si="5"/>
        <v>10</v>
      </c>
      <c r="E18" s="5">
        <f t="shared" si="5"/>
        <v>11</v>
      </c>
      <c r="F18" s="4">
        <f t="shared" si="5"/>
        <v>12</v>
      </c>
      <c r="G18" s="9">
        <f t="shared" si="5"/>
        <v>13</v>
      </c>
      <c r="H18" s="7">
        <f t="shared" si="5"/>
        <v>14</v>
      </c>
      <c r="I18" s="5">
        <f t="shared" si="5"/>
        <v>15</v>
      </c>
      <c r="J18" s="4">
        <v>16</v>
      </c>
      <c r="K18" s="9" t="str">
        <f t="shared" si="7"/>
        <v>9,10
13,14</v>
      </c>
      <c r="N18">
        <f t="shared" ref="N18:V18" si="24">N17</f>
        <v>0</v>
      </c>
      <c r="O18">
        <f t="shared" si="24"/>
        <v>0</v>
      </c>
      <c r="P18">
        <f t="shared" si="24"/>
        <v>0</v>
      </c>
      <c r="Q18">
        <f t="shared" si="24"/>
        <v>0</v>
      </c>
      <c r="R18" t="str">
        <f t="shared" si="24"/>
        <v>1,2
5,6</v>
      </c>
      <c r="S18" t="str">
        <f t="shared" si="24"/>
        <v>2,3
6,7</v>
      </c>
      <c r="T18" t="str">
        <f t="shared" si="24"/>
        <v>3,4
7,8</v>
      </c>
      <c r="U18" t="str">
        <f t="shared" si="24"/>
        <v>5,6
9,10</v>
      </c>
      <c r="V18" t="str">
        <f t="shared" si="24"/>
        <v>6,7
10,11</v>
      </c>
      <c r="W18" t="str">
        <f>W17</f>
        <v>7,8
11,12</v>
      </c>
      <c r="Y18" s="9" t="s">
        <v>0</v>
      </c>
      <c r="Z18" s="5">
        <f t="shared" si="23"/>
        <v>0</v>
      </c>
      <c r="AA18" s="4">
        <f t="shared" si="23"/>
        <v>0</v>
      </c>
      <c r="AC18" t="s">
        <v>45</v>
      </c>
      <c r="AD18">
        <f t="shared" ref="AD18:AJ22" si="25">AD17</f>
        <v>0</v>
      </c>
      <c r="AE18" t="str">
        <f t="shared" si="25"/>
        <v>1,2
5,6</v>
      </c>
      <c r="AF18" t="str">
        <f t="shared" si="25"/>
        <v>2,3
6,7</v>
      </c>
      <c r="AG18" t="str">
        <f t="shared" si="25"/>
        <v>3,4
7,8</v>
      </c>
      <c r="AH18" t="str">
        <f t="shared" si="25"/>
        <v>5,6
9,10</v>
      </c>
      <c r="AI18" t="str">
        <f t="shared" si="25"/>
        <v>6,7
10,11</v>
      </c>
      <c r="AJ18" t="str">
        <f t="shared" si="25"/>
        <v>7,8
11,12</v>
      </c>
      <c r="AO18" s="17" t="s">
        <v>24</v>
      </c>
      <c r="AP18" s="3">
        <v>16</v>
      </c>
      <c r="AQ18" s="3">
        <v>16</v>
      </c>
      <c r="AR18" s="9">
        <f t="shared" si="6"/>
        <v>9</v>
      </c>
      <c r="AS18" s="7">
        <f t="shared" si="6"/>
        <v>10</v>
      </c>
      <c r="AT18" s="5">
        <f t="shared" si="6"/>
        <v>11</v>
      </c>
      <c r="AU18" s="4">
        <f t="shared" si="6"/>
        <v>12</v>
      </c>
      <c r="AV18" s="9">
        <f t="shared" si="6"/>
        <v>13</v>
      </c>
      <c r="AW18" s="7">
        <f t="shared" si="6"/>
        <v>14</v>
      </c>
      <c r="AX18" s="5">
        <f t="shared" si="6"/>
        <v>15</v>
      </c>
      <c r="AY18" s="4">
        <v>16</v>
      </c>
      <c r="AZ18" s="9" t="str">
        <f t="shared" ref="AZ18:AZ20" si="26">AR18 &amp; "," &amp; AS18 &amp; CHAR(10) &amp; AV18 &amp; "," &amp; AW18</f>
        <v>9,10
13,14</v>
      </c>
      <c r="BA18" s="6"/>
      <c r="BB18" s="2"/>
      <c r="BD18" s="9" t="s">
        <v>0</v>
      </c>
      <c r="BE18" s="5"/>
      <c r="BF18" s="4"/>
      <c r="BG18" s="21"/>
      <c r="BH18" s="2"/>
      <c r="BI18" s="21" t="s">
        <v>38</v>
      </c>
      <c r="BJ18" s="2" t="s">
        <v>59</v>
      </c>
      <c r="BK18" s="2" t="s">
        <v>83</v>
      </c>
      <c r="BL18" s="10" t="s">
        <v>65</v>
      </c>
      <c r="CB18" s="17" t="s">
        <v>24</v>
      </c>
    </row>
    <row r="19" spans="1:80" x14ac:dyDescent="0.25">
      <c r="A19" s="3">
        <v>17</v>
      </c>
      <c r="B19" s="3" t="s">
        <v>10</v>
      </c>
      <c r="C19" s="9">
        <f t="shared" si="5"/>
        <v>10</v>
      </c>
      <c r="D19" s="7">
        <f t="shared" si="5"/>
        <v>11</v>
      </c>
      <c r="E19" s="5">
        <f t="shared" si="5"/>
        <v>12</v>
      </c>
      <c r="F19" s="4">
        <f t="shared" si="5"/>
        <v>13</v>
      </c>
      <c r="G19" s="9">
        <f t="shared" si="5"/>
        <v>14</v>
      </c>
      <c r="H19" s="7">
        <f t="shared" si="5"/>
        <v>15</v>
      </c>
      <c r="I19" s="5">
        <f t="shared" si="5"/>
        <v>16</v>
      </c>
      <c r="J19" s="4">
        <v>0</v>
      </c>
      <c r="K19" s="9" t="str">
        <f t="shared" si="7"/>
        <v>10,11
14,15</v>
      </c>
      <c r="N19">
        <f t="shared" si="11"/>
        <v>0</v>
      </c>
      <c r="O19">
        <f t="shared" si="11"/>
        <v>0</v>
      </c>
      <c r="P19">
        <f t="shared" si="11"/>
        <v>0</v>
      </c>
      <c r="Q19" t="str">
        <f t="shared" si="11"/>
        <v>1,2
5,6</v>
      </c>
      <c r="R19" t="str">
        <f t="shared" si="11"/>
        <v>2,3
6,7</v>
      </c>
      <c r="S19" t="str">
        <f t="shared" si="11"/>
        <v>3,4
7,8</v>
      </c>
      <c r="T19" t="str">
        <f t="shared" si="11"/>
        <v>5,6
9,10</v>
      </c>
      <c r="U19" t="str">
        <f t="shared" si="11"/>
        <v>6,7
10,11</v>
      </c>
      <c r="V19" t="str">
        <f t="shared" si="11"/>
        <v>7,8
11,12</v>
      </c>
      <c r="W19" s="1" t="str">
        <f>K18</f>
        <v>9,10
13,14</v>
      </c>
      <c r="Y19" s="9" t="s">
        <v>0</v>
      </c>
      <c r="Z19" s="5">
        <f t="shared" si="23"/>
        <v>0</v>
      </c>
      <c r="AA19" s="4">
        <f t="shared" si="23"/>
        <v>0</v>
      </c>
      <c r="AD19" t="str">
        <f t="shared" si="13"/>
        <v>1,2
5,6</v>
      </c>
      <c r="AE19" t="str">
        <f>AF18</f>
        <v>2,3
6,7</v>
      </c>
      <c r="AF19" t="str">
        <f t="shared" si="13"/>
        <v>3,4
7,8</v>
      </c>
      <c r="AG19" t="str">
        <f t="shared" si="13"/>
        <v>5,6
9,10</v>
      </c>
      <c r="AH19" t="str">
        <f t="shared" si="13"/>
        <v>6,7
10,11</v>
      </c>
      <c r="AI19" t="str">
        <f t="shared" si="13"/>
        <v>7,8
11,12</v>
      </c>
      <c r="AJ19" t="str">
        <f t="shared" si="25"/>
        <v>7,8
11,12</v>
      </c>
      <c r="AO19" s="17"/>
      <c r="AP19" s="3">
        <v>17</v>
      </c>
      <c r="AQ19" s="3" t="s">
        <v>10</v>
      </c>
      <c r="AR19" s="9">
        <f t="shared" si="6"/>
        <v>10</v>
      </c>
      <c r="AS19" s="7">
        <f t="shared" si="6"/>
        <v>11</v>
      </c>
      <c r="AT19" s="5">
        <f t="shared" si="6"/>
        <v>12</v>
      </c>
      <c r="AU19" s="4">
        <f t="shared" si="6"/>
        <v>13</v>
      </c>
      <c r="AV19" s="9">
        <f t="shared" si="6"/>
        <v>14</v>
      </c>
      <c r="AW19" s="7">
        <f t="shared" si="6"/>
        <v>15</v>
      </c>
      <c r="AX19" s="5">
        <f t="shared" si="6"/>
        <v>16</v>
      </c>
      <c r="AY19" s="4">
        <v>0</v>
      </c>
      <c r="AZ19" s="9" t="str">
        <f t="shared" si="26"/>
        <v>10,11
14,15</v>
      </c>
      <c r="BA19" s="6"/>
      <c r="BB19" s="2"/>
      <c r="BD19" s="9" t="s">
        <v>0</v>
      </c>
      <c r="BE19" s="5"/>
      <c r="BF19" s="4"/>
      <c r="BG19" s="21"/>
      <c r="BH19" s="2"/>
      <c r="BI19" s="23" t="s">
        <v>52</v>
      </c>
      <c r="BJ19" s="21" t="s">
        <v>38</v>
      </c>
      <c r="BK19" s="2" t="s">
        <v>83</v>
      </c>
      <c r="BL19" s="2" t="s">
        <v>66</v>
      </c>
      <c r="BZ19" s="17"/>
    </row>
    <row r="20" spans="1:80" ht="17.25" customHeight="1" x14ac:dyDescent="0.25">
      <c r="A20" s="3">
        <v>18</v>
      </c>
      <c r="B20" s="3" t="s">
        <v>10</v>
      </c>
      <c r="C20" s="9">
        <f t="shared" ref="C20:I20" si="27">D19</f>
        <v>11</v>
      </c>
      <c r="D20" s="7">
        <f t="shared" si="27"/>
        <v>12</v>
      </c>
      <c r="E20" s="5">
        <f t="shared" si="27"/>
        <v>13</v>
      </c>
      <c r="F20" s="4">
        <f t="shared" si="27"/>
        <v>14</v>
      </c>
      <c r="G20" s="9">
        <f t="shared" si="27"/>
        <v>15</v>
      </c>
      <c r="H20" s="7">
        <f t="shared" si="27"/>
        <v>16</v>
      </c>
      <c r="I20" s="5">
        <f t="shared" si="27"/>
        <v>0</v>
      </c>
      <c r="J20" s="4">
        <v>0</v>
      </c>
      <c r="K20" s="9" t="str">
        <f t="shared" si="7"/>
        <v>11,12
15,16</v>
      </c>
      <c r="N20">
        <f t="shared" si="11"/>
        <v>0</v>
      </c>
      <c r="O20">
        <f t="shared" si="11"/>
        <v>0</v>
      </c>
      <c r="P20" t="str">
        <f t="shared" si="11"/>
        <v>1,2
5,6</v>
      </c>
      <c r="Q20" t="str">
        <f t="shared" si="11"/>
        <v>2,3
6,7</v>
      </c>
      <c r="R20" t="str">
        <f t="shared" si="11"/>
        <v>3,4
7,8</v>
      </c>
      <c r="S20" t="str">
        <f t="shared" si="11"/>
        <v>5,6
9,10</v>
      </c>
      <c r="T20" t="str">
        <f t="shared" si="11"/>
        <v>6,7
10,11</v>
      </c>
      <c r="U20" t="str">
        <f t="shared" si="11"/>
        <v>7,8
11,12</v>
      </c>
      <c r="V20" t="str">
        <f t="shared" si="11"/>
        <v>9,10
13,14</v>
      </c>
      <c r="W20" t="str">
        <f>K19</f>
        <v>10,11
14,15</v>
      </c>
      <c r="Y20" s="9" t="s">
        <v>0</v>
      </c>
      <c r="Z20" s="5">
        <f t="shared" si="23"/>
        <v>0</v>
      </c>
      <c r="AA20" s="4">
        <f t="shared" si="23"/>
        <v>0</v>
      </c>
      <c r="AD20" t="str">
        <f t="shared" si="13"/>
        <v>2,3
6,7</v>
      </c>
      <c r="AE20" t="str">
        <f t="shared" si="13"/>
        <v>3,4
7,8</v>
      </c>
      <c r="AF20" t="str">
        <f t="shared" si="13"/>
        <v>5,6
9,10</v>
      </c>
      <c r="AG20" t="str">
        <f t="shared" si="13"/>
        <v>6,7
10,11</v>
      </c>
      <c r="AH20" t="str">
        <f t="shared" si="13"/>
        <v>7,8
11,12</v>
      </c>
      <c r="AI20" t="str">
        <f t="shared" si="13"/>
        <v>7,8
11,12</v>
      </c>
      <c r="AJ20" t="str">
        <f t="shared" si="25"/>
        <v>7,8
11,12</v>
      </c>
      <c r="AP20" s="3">
        <v>18</v>
      </c>
      <c r="AQ20" s="3" t="s">
        <v>10</v>
      </c>
      <c r="AR20" s="9">
        <f t="shared" ref="AR20:AX20" si="28">AS19</f>
        <v>11</v>
      </c>
      <c r="AS20" s="7">
        <f t="shared" si="28"/>
        <v>12</v>
      </c>
      <c r="AT20" s="5">
        <f t="shared" si="28"/>
        <v>13</v>
      </c>
      <c r="AU20" s="4">
        <f t="shared" si="28"/>
        <v>14</v>
      </c>
      <c r="AV20" s="9">
        <f t="shared" si="28"/>
        <v>15</v>
      </c>
      <c r="AW20" s="7">
        <f t="shared" si="28"/>
        <v>16</v>
      </c>
      <c r="AX20" s="5">
        <f t="shared" si="28"/>
        <v>0</v>
      </c>
      <c r="AY20" s="4">
        <v>0</v>
      </c>
      <c r="AZ20" s="9" t="str">
        <f t="shared" si="26"/>
        <v>11,12
15,16</v>
      </c>
      <c r="BA20" s="6"/>
      <c r="BB20" s="2"/>
      <c r="BD20" s="9" t="s">
        <v>0</v>
      </c>
      <c r="BE20" s="5"/>
      <c r="BF20" s="4"/>
      <c r="BG20" s="21"/>
      <c r="BH20" s="2"/>
      <c r="BI20" s="21"/>
      <c r="BJ20" s="25" t="s">
        <v>60</v>
      </c>
      <c r="BK20" s="25" t="s">
        <v>84</v>
      </c>
      <c r="BL20" s="2" t="s">
        <v>66</v>
      </c>
    </row>
    <row r="21" spans="1:80" x14ac:dyDescent="0.25">
      <c r="A21" s="3">
        <v>19</v>
      </c>
      <c r="B21" s="3"/>
      <c r="C21" s="9" t="s">
        <v>0</v>
      </c>
      <c r="D21" s="7"/>
      <c r="E21" s="5"/>
      <c r="F21" s="4"/>
      <c r="G21" s="9"/>
      <c r="I21" s="5"/>
      <c r="J21" s="4"/>
      <c r="K21" s="9"/>
      <c r="N21">
        <f t="shared" si="11"/>
        <v>0</v>
      </c>
      <c r="O21" s="10" t="str">
        <f t="shared" si="11"/>
        <v>1,2
5,6</v>
      </c>
      <c r="P21" s="10" t="str">
        <f t="shared" si="11"/>
        <v>2,3
6,7</v>
      </c>
      <c r="Q21" s="10" t="str">
        <f t="shared" si="11"/>
        <v>3,4
7,8</v>
      </c>
      <c r="R21" s="10" t="str">
        <f t="shared" si="11"/>
        <v>5,6
9,10</v>
      </c>
      <c r="S21" s="10" t="str">
        <f t="shared" si="11"/>
        <v>6,7
10,11</v>
      </c>
      <c r="T21" s="10" t="str">
        <f t="shared" si="11"/>
        <v>7,8
11,12</v>
      </c>
      <c r="U21" s="10" t="str">
        <f t="shared" si="11"/>
        <v>9,10
13,14</v>
      </c>
      <c r="V21" s="10" t="str">
        <f t="shared" si="11"/>
        <v>10,11
14,15</v>
      </c>
      <c r="W21" s="10" t="str">
        <f>K20</f>
        <v>11,12
15,16</v>
      </c>
      <c r="Y21" s="9">
        <f t="shared" si="2"/>
        <v>0</v>
      </c>
      <c r="Z21" s="5">
        <f t="shared" si="23"/>
        <v>0</v>
      </c>
      <c r="AA21" s="4">
        <f t="shared" si="23"/>
        <v>0</v>
      </c>
      <c r="AD21" t="str">
        <f t="shared" si="13"/>
        <v>3,4
7,8</v>
      </c>
      <c r="AE21" t="str">
        <f t="shared" si="13"/>
        <v>5,6
9,10</v>
      </c>
      <c r="AF21" t="str">
        <f t="shared" si="13"/>
        <v>6,7
10,11</v>
      </c>
      <c r="AG21" t="str">
        <f t="shared" si="13"/>
        <v>7,8
11,12</v>
      </c>
      <c r="AH21" t="str">
        <f t="shared" si="13"/>
        <v>7,8
11,12</v>
      </c>
      <c r="AI21" t="str">
        <f t="shared" si="13"/>
        <v>7,8
11,12</v>
      </c>
      <c r="AJ21" t="str">
        <f t="shared" si="25"/>
        <v>7,8
11,12</v>
      </c>
      <c r="AP21" s="3">
        <v>19</v>
      </c>
      <c r="AQ21" s="3"/>
      <c r="AR21" s="9" t="s">
        <v>0</v>
      </c>
      <c r="AS21" s="7"/>
      <c r="AT21" s="5"/>
      <c r="AU21" s="4"/>
      <c r="AV21" s="9"/>
      <c r="AW21" s="7"/>
      <c r="AX21" s="5"/>
      <c r="AY21" s="4"/>
      <c r="AZ21" s="9"/>
      <c r="BA21" s="6"/>
      <c r="BB21" s="2"/>
      <c r="BD21" s="9">
        <f t="shared" ref="BD21:BD38" si="29">AA21</f>
        <v>0</v>
      </c>
      <c r="BE21" s="5"/>
      <c r="BF21" s="4"/>
      <c r="BG21" s="21"/>
      <c r="BH21" s="2"/>
      <c r="BI21" s="21"/>
      <c r="BJ21" s="2"/>
      <c r="BK21" s="25" t="s">
        <v>84</v>
      </c>
      <c r="BL21" s="25" t="s">
        <v>67</v>
      </c>
      <c r="BM21" t="s">
        <v>70</v>
      </c>
    </row>
    <row r="22" spans="1:80" x14ac:dyDescent="0.25">
      <c r="A22" s="3">
        <v>20</v>
      </c>
      <c r="B22" s="3"/>
      <c r="C22" s="9"/>
      <c r="D22" s="7"/>
      <c r="E22" s="5"/>
      <c r="F22" s="4"/>
      <c r="G22" s="9"/>
      <c r="I22" s="5"/>
      <c r="J22" s="4"/>
      <c r="K22" s="9"/>
      <c r="Y22" s="9">
        <f t="shared" si="2"/>
        <v>0</v>
      </c>
      <c r="Z22" s="5">
        <f t="shared" si="23"/>
        <v>0</v>
      </c>
      <c r="AA22" s="4">
        <f t="shared" si="23"/>
        <v>0</v>
      </c>
      <c r="AD22" t="str">
        <f t="shared" si="13"/>
        <v>5,6
9,10</v>
      </c>
      <c r="AE22" t="str">
        <f t="shared" si="13"/>
        <v>6,7
10,11</v>
      </c>
      <c r="AF22" t="str">
        <f t="shared" si="13"/>
        <v>7,8
11,12</v>
      </c>
      <c r="AG22" t="str">
        <f t="shared" si="13"/>
        <v>7,8
11,12</v>
      </c>
      <c r="AH22" t="str">
        <f t="shared" si="13"/>
        <v>7,8
11,12</v>
      </c>
      <c r="AI22" t="str">
        <f t="shared" si="13"/>
        <v>7,8
11,12</v>
      </c>
      <c r="AJ22" t="str">
        <f t="shared" si="25"/>
        <v>7,8
11,12</v>
      </c>
      <c r="AP22" s="3">
        <v>20</v>
      </c>
      <c r="AQ22" s="3"/>
      <c r="AR22" s="9"/>
      <c r="AS22" s="7"/>
      <c r="AT22" s="5"/>
      <c r="AU22" s="4"/>
      <c r="AV22" s="9"/>
      <c r="AW22" s="7"/>
      <c r="AX22" s="5"/>
      <c r="AY22" s="4"/>
      <c r="AZ22" s="9"/>
      <c r="BA22" s="6"/>
      <c r="BB22" s="2"/>
      <c r="BD22" s="9">
        <f t="shared" si="29"/>
        <v>0</v>
      </c>
      <c r="BE22" s="5"/>
      <c r="BF22" s="4"/>
      <c r="BG22" s="21"/>
      <c r="BH22" s="2"/>
      <c r="BI22" s="21"/>
      <c r="BJ22" s="2"/>
      <c r="BL22" s="25" t="s">
        <v>67</v>
      </c>
    </row>
    <row r="23" spans="1:80" x14ac:dyDescent="0.25">
      <c r="A23" s="3">
        <v>21</v>
      </c>
      <c r="B23" s="3"/>
      <c r="C23" s="9"/>
      <c r="D23" s="7"/>
      <c r="E23" s="5"/>
      <c r="F23" s="4"/>
      <c r="G23" s="9"/>
      <c r="I23" s="5"/>
      <c r="J23" s="4"/>
      <c r="K23" s="9"/>
      <c r="Y23" s="9">
        <f t="shared" si="2"/>
        <v>0</v>
      </c>
      <c r="Z23" s="5">
        <f t="shared" si="23"/>
        <v>0</v>
      </c>
      <c r="AA23" s="4">
        <f t="shared" si="23"/>
        <v>0</v>
      </c>
      <c r="AP23" s="3">
        <v>21</v>
      </c>
      <c r="AQ23" s="3"/>
      <c r="AR23" s="9"/>
      <c r="AS23" s="7"/>
      <c r="AT23" s="5"/>
      <c r="AU23" s="4"/>
      <c r="AV23" s="9"/>
      <c r="AW23" s="7"/>
      <c r="AX23" s="5"/>
      <c r="AY23" s="4"/>
      <c r="AZ23" s="9"/>
      <c r="BA23" s="6"/>
      <c r="BB23" s="2"/>
      <c r="BD23" s="9">
        <f t="shared" si="29"/>
        <v>0</v>
      </c>
      <c r="BE23" s="5"/>
      <c r="BF23" s="4"/>
      <c r="BG23" s="21"/>
      <c r="BH23" s="2"/>
      <c r="BI23" s="21"/>
      <c r="BJ23" s="2"/>
      <c r="BK23" s="10"/>
    </row>
    <row r="24" spans="1:80" x14ac:dyDescent="0.25">
      <c r="A24" s="3">
        <v>22</v>
      </c>
      <c r="B24" s="3"/>
      <c r="C24" s="9"/>
      <c r="D24" s="7"/>
      <c r="E24" s="5"/>
      <c r="F24" s="4"/>
      <c r="G24" s="9"/>
      <c r="I24" s="5"/>
      <c r="J24" s="4"/>
      <c r="K24" s="9"/>
      <c r="Y24" s="9">
        <f t="shared" si="2"/>
        <v>0</v>
      </c>
      <c r="Z24" s="5">
        <f t="shared" si="23"/>
        <v>0</v>
      </c>
      <c r="AA24" s="4">
        <f t="shared" si="23"/>
        <v>0</v>
      </c>
      <c r="AB24" t="s">
        <v>47</v>
      </c>
      <c r="AC24" t="s">
        <v>48</v>
      </c>
      <c r="AP24" s="3">
        <v>22</v>
      </c>
      <c r="AQ24" s="3"/>
      <c r="AR24" s="9"/>
      <c r="AS24" s="7"/>
      <c r="AT24" s="5"/>
      <c r="AU24" s="4"/>
      <c r="AV24" s="9"/>
      <c r="AW24" s="7"/>
      <c r="AX24" s="5"/>
      <c r="AY24" s="4"/>
      <c r="AZ24" s="9"/>
      <c r="BA24" s="6"/>
      <c r="BB24" s="2"/>
      <c r="BD24" s="9">
        <f t="shared" si="29"/>
        <v>0</v>
      </c>
      <c r="BE24" s="5"/>
      <c r="BF24" s="4"/>
      <c r="BG24" s="21"/>
      <c r="BH24" s="2"/>
      <c r="BI24" s="21"/>
      <c r="BJ24" s="2"/>
      <c r="BK24" s="10"/>
      <c r="BL24" s="22"/>
    </row>
    <row r="25" spans="1:80" x14ac:dyDescent="0.25">
      <c r="A25" s="3">
        <v>23</v>
      </c>
      <c r="B25" s="3"/>
      <c r="C25" s="9"/>
      <c r="D25" s="7"/>
      <c r="E25" s="5"/>
      <c r="F25" s="4"/>
      <c r="G25" s="9"/>
      <c r="I25" s="5"/>
      <c r="J25" s="4"/>
      <c r="K25" s="9"/>
      <c r="Y25" s="9">
        <f t="shared" si="2"/>
        <v>0</v>
      </c>
      <c r="Z25" s="5">
        <f t="shared" si="23"/>
        <v>0</v>
      </c>
      <c r="AA25" s="4">
        <f t="shared" si="23"/>
        <v>0</v>
      </c>
      <c r="AB25">
        <v>31</v>
      </c>
      <c r="AP25" s="3">
        <v>23</v>
      </c>
      <c r="AQ25" s="3"/>
      <c r="AR25" s="9"/>
      <c r="AS25" s="7"/>
      <c r="AT25" s="5"/>
      <c r="AU25" s="4"/>
      <c r="AV25" s="9"/>
      <c r="AW25" s="7"/>
      <c r="AX25" s="5"/>
      <c r="AY25" s="4"/>
      <c r="AZ25" s="9"/>
      <c r="BA25" s="6"/>
      <c r="BB25" s="2"/>
      <c r="BD25" s="9">
        <f t="shared" si="29"/>
        <v>0</v>
      </c>
      <c r="BE25" s="5"/>
      <c r="BF25" s="4"/>
      <c r="BG25" s="21"/>
      <c r="BH25" s="2"/>
      <c r="BI25" s="21"/>
      <c r="BJ25" s="2"/>
      <c r="BK25" s="10"/>
      <c r="BL25" s="22"/>
    </row>
    <row r="26" spans="1:80" x14ac:dyDescent="0.25">
      <c r="A26" s="3">
        <v>24</v>
      </c>
      <c r="B26" s="3"/>
      <c r="C26" s="9"/>
      <c r="D26" s="7"/>
      <c r="E26" s="5"/>
      <c r="F26" s="4"/>
      <c r="G26" s="9"/>
      <c r="I26" s="5"/>
      <c r="J26" s="4"/>
      <c r="K26" s="9"/>
      <c r="Y26" s="9">
        <f t="shared" si="2"/>
        <v>0</v>
      </c>
      <c r="Z26" s="5">
        <f t="shared" si="23"/>
        <v>0</v>
      </c>
      <c r="AA26" s="4">
        <f t="shared" si="23"/>
        <v>0</v>
      </c>
      <c r="AP26" s="3">
        <v>24</v>
      </c>
      <c r="AQ26" s="3"/>
      <c r="AR26" s="9"/>
      <c r="AS26" s="7"/>
      <c r="AT26" s="5"/>
      <c r="AU26" s="4"/>
      <c r="AV26" s="9"/>
      <c r="AW26" s="7"/>
      <c r="AX26" s="5"/>
      <c r="AY26" s="4"/>
      <c r="AZ26" s="9"/>
      <c r="BA26" s="6"/>
      <c r="BB26" s="2"/>
      <c r="BD26" s="9">
        <f t="shared" si="29"/>
        <v>0</v>
      </c>
      <c r="BE26" s="5"/>
      <c r="BF26" s="4"/>
      <c r="BG26" s="21"/>
      <c r="BH26" s="2"/>
      <c r="BI26" s="21"/>
      <c r="BJ26" s="2"/>
    </row>
    <row r="27" spans="1:80" x14ac:dyDescent="0.25">
      <c r="A27" s="3">
        <v>25</v>
      </c>
      <c r="B27" s="3"/>
      <c r="C27" s="9"/>
      <c r="D27" s="7"/>
      <c r="E27" s="5"/>
      <c r="F27" s="4"/>
      <c r="G27" s="9"/>
      <c r="I27" s="5"/>
      <c r="J27" s="4"/>
      <c r="K27" s="9"/>
      <c r="Y27" s="9">
        <f t="shared" si="2"/>
        <v>0</v>
      </c>
      <c r="Z27" s="5">
        <f t="shared" si="23"/>
        <v>0</v>
      </c>
      <c r="AA27" s="4">
        <f t="shared" si="23"/>
        <v>0</v>
      </c>
      <c r="AP27" s="3">
        <v>25</v>
      </c>
      <c r="AQ27" s="3"/>
      <c r="AR27" s="9"/>
      <c r="AS27" s="7"/>
      <c r="AT27" s="5"/>
      <c r="AU27" s="4"/>
      <c r="AV27" s="9"/>
      <c r="AW27" s="7"/>
      <c r="AX27" s="5"/>
      <c r="AY27" s="4"/>
      <c r="AZ27" s="9"/>
      <c r="BA27" s="6"/>
      <c r="BB27" s="2"/>
      <c r="BD27" s="9">
        <f t="shared" si="29"/>
        <v>0</v>
      </c>
      <c r="BE27" s="5"/>
      <c r="BF27" s="4"/>
      <c r="BG27" s="21"/>
      <c r="BH27" s="2"/>
      <c r="BI27" s="21"/>
      <c r="BJ27" s="2"/>
    </row>
    <row r="28" spans="1:80" x14ac:dyDescent="0.25">
      <c r="A28" s="3">
        <v>26</v>
      </c>
      <c r="B28" s="3"/>
      <c r="C28" s="9"/>
      <c r="D28" s="7"/>
      <c r="E28" s="5"/>
      <c r="F28" s="4"/>
      <c r="G28" s="9"/>
      <c r="I28" s="5"/>
      <c r="J28" s="4"/>
      <c r="K28" s="9"/>
      <c r="Y28" s="9">
        <f t="shared" si="2"/>
        <v>0</v>
      </c>
      <c r="Z28" s="5">
        <f t="shared" si="23"/>
        <v>0</v>
      </c>
      <c r="AA28" s="4">
        <f t="shared" si="23"/>
        <v>0</v>
      </c>
      <c r="AP28" s="3">
        <v>26</v>
      </c>
      <c r="AQ28" s="3"/>
      <c r="AR28" s="9"/>
      <c r="AS28" s="7"/>
      <c r="AT28" s="5"/>
      <c r="AU28" s="4"/>
      <c r="AV28" s="9"/>
      <c r="AW28" s="7"/>
      <c r="AX28" s="5"/>
      <c r="AY28" s="4"/>
      <c r="AZ28" s="9"/>
      <c r="BA28" s="6"/>
      <c r="BB28" s="2"/>
      <c r="BD28" s="9">
        <f t="shared" si="29"/>
        <v>0</v>
      </c>
      <c r="BE28" s="5"/>
      <c r="BF28" s="4"/>
      <c r="BG28" s="21"/>
      <c r="BH28" s="2"/>
      <c r="BI28" s="21"/>
      <c r="BJ28" s="2"/>
    </row>
    <row r="29" spans="1:80" x14ac:dyDescent="0.25">
      <c r="A29" s="3">
        <v>27</v>
      </c>
      <c r="B29" s="3"/>
      <c r="C29" s="9"/>
      <c r="D29" s="7"/>
      <c r="E29" s="5"/>
      <c r="F29" s="4"/>
      <c r="G29" s="9"/>
      <c r="I29" s="5"/>
      <c r="J29" s="4"/>
      <c r="K29" s="9"/>
      <c r="Y29" s="9">
        <f t="shared" si="2"/>
        <v>0</v>
      </c>
      <c r="Z29" s="5">
        <f t="shared" si="23"/>
        <v>0</v>
      </c>
      <c r="AA29" s="4">
        <f t="shared" si="23"/>
        <v>0</v>
      </c>
      <c r="AP29" s="3">
        <v>27</v>
      </c>
      <c r="AQ29" s="3"/>
      <c r="AR29" s="9"/>
      <c r="AS29" s="7"/>
      <c r="AT29" s="5"/>
      <c r="AU29" s="4"/>
      <c r="AV29" s="9"/>
      <c r="AW29" s="7"/>
      <c r="AX29" s="5"/>
      <c r="AY29" s="4"/>
      <c r="AZ29" s="9"/>
      <c r="BA29" s="6"/>
      <c r="BB29" s="2"/>
      <c r="BD29" s="9">
        <f t="shared" si="29"/>
        <v>0</v>
      </c>
      <c r="BE29" s="5"/>
      <c r="BF29" s="4"/>
      <c r="BG29" s="21"/>
      <c r="BH29" s="2"/>
      <c r="BI29" s="21"/>
      <c r="BJ29" s="2"/>
    </row>
    <row r="30" spans="1:80" x14ac:dyDescent="0.25">
      <c r="A30" s="3">
        <v>28</v>
      </c>
      <c r="B30" s="3"/>
      <c r="C30" s="9"/>
      <c r="D30" s="7"/>
      <c r="E30" s="5"/>
      <c r="F30" s="4"/>
      <c r="G30" s="9"/>
      <c r="I30" s="5"/>
      <c r="J30" s="4"/>
      <c r="K30" s="9"/>
      <c r="Y30" s="9">
        <f t="shared" si="2"/>
        <v>0</v>
      </c>
      <c r="Z30" s="5">
        <f t="shared" si="23"/>
        <v>0</v>
      </c>
      <c r="AA30" s="4">
        <f t="shared" si="23"/>
        <v>0</v>
      </c>
      <c r="AP30" s="3">
        <v>28</v>
      </c>
      <c r="AQ30" s="3"/>
      <c r="AR30" s="9"/>
      <c r="AS30" s="7"/>
      <c r="AT30" s="5"/>
      <c r="AU30" s="4"/>
      <c r="AV30" s="9"/>
      <c r="AW30" s="7"/>
      <c r="AX30" s="5"/>
      <c r="AY30" s="4"/>
      <c r="AZ30" s="9"/>
      <c r="BA30" s="6"/>
      <c r="BB30" s="2"/>
      <c r="BD30" s="9">
        <f t="shared" si="29"/>
        <v>0</v>
      </c>
      <c r="BE30" s="5"/>
      <c r="BF30" s="4"/>
      <c r="BG30" s="21"/>
      <c r="BH30" s="2"/>
      <c r="BI30" s="21"/>
      <c r="BJ30" s="2"/>
    </row>
    <row r="31" spans="1:80" x14ac:dyDescent="0.25">
      <c r="A31" s="3">
        <v>29</v>
      </c>
      <c r="B31" s="3"/>
      <c r="C31" s="9"/>
      <c r="D31" s="7"/>
      <c r="E31" s="5"/>
      <c r="F31" s="4"/>
      <c r="G31" s="9"/>
      <c r="I31" s="5"/>
      <c r="J31" s="4"/>
      <c r="K31" s="9"/>
      <c r="Y31" s="9">
        <f t="shared" si="2"/>
        <v>0</v>
      </c>
      <c r="Z31" s="5">
        <f t="shared" si="23"/>
        <v>0</v>
      </c>
      <c r="AA31" s="4">
        <f t="shared" si="23"/>
        <v>0</v>
      </c>
      <c r="AP31" s="3">
        <v>29</v>
      </c>
      <c r="AQ31" s="3"/>
      <c r="AR31" s="9"/>
      <c r="AS31" s="7"/>
      <c r="AT31" s="5"/>
      <c r="AU31" s="4"/>
      <c r="AV31" s="9"/>
      <c r="AW31" s="7"/>
      <c r="AX31" s="5"/>
      <c r="AY31" s="4"/>
      <c r="AZ31" s="9"/>
      <c r="BA31" s="6"/>
      <c r="BB31" s="2"/>
      <c r="BD31" s="9">
        <f t="shared" si="29"/>
        <v>0</v>
      </c>
      <c r="BE31" s="5"/>
      <c r="BF31" s="4"/>
    </row>
    <row r="32" spans="1:80" x14ac:dyDescent="0.25">
      <c r="A32" s="3">
        <v>30</v>
      </c>
      <c r="B32" s="3"/>
      <c r="C32" s="9"/>
      <c r="D32" s="7"/>
      <c r="E32" s="5"/>
      <c r="F32" s="4"/>
      <c r="G32" s="9"/>
      <c r="I32" s="5"/>
      <c r="J32" s="4"/>
      <c r="K32" s="9"/>
      <c r="Y32" s="9">
        <f t="shared" si="2"/>
        <v>0</v>
      </c>
      <c r="Z32" s="5">
        <f t="shared" si="23"/>
        <v>0</v>
      </c>
      <c r="AA32" s="4">
        <f t="shared" si="23"/>
        <v>0</v>
      </c>
      <c r="AP32" s="3">
        <v>30</v>
      </c>
      <c r="AQ32" s="3"/>
      <c r="AR32" s="9"/>
      <c r="AS32" s="7"/>
      <c r="AT32" s="5"/>
      <c r="AU32" s="4"/>
      <c r="AV32" s="9"/>
      <c r="AW32" s="7"/>
      <c r="AX32" s="5"/>
      <c r="AY32" s="4"/>
      <c r="AZ32" s="9"/>
      <c r="BA32" s="6"/>
      <c r="BB32" s="2"/>
      <c r="BD32" s="9">
        <f t="shared" si="29"/>
        <v>0</v>
      </c>
      <c r="BE32" s="5"/>
      <c r="BF32" s="4"/>
    </row>
    <row r="33" spans="1:58" x14ac:dyDescent="0.25">
      <c r="A33" s="3">
        <v>31</v>
      </c>
      <c r="B33" s="3"/>
      <c r="C33" s="9"/>
      <c r="D33" s="7"/>
      <c r="E33" s="5"/>
      <c r="F33" s="4"/>
      <c r="G33" s="9"/>
      <c r="I33" s="5"/>
      <c r="J33" s="4"/>
      <c r="K33" s="9"/>
      <c r="Y33" s="9">
        <f t="shared" si="2"/>
        <v>0</v>
      </c>
      <c r="Z33" s="5">
        <f t="shared" si="23"/>
        <v>0</v>
      </c>
      <c r="AA33" s="4">
        <f t="shared" si="23"/>
        <v>0</v>
      </c>
      <c r="AP33" s="3">
        <v>31</v>
      </c>
      <c r="AQ33" s="3"/>
      <c r="AR33" s="9"/>
      <c r="AS33" s="7"/>
      <c r="AT33" s="5"/>
      <c r="AU33" s="4"/>
      <c r="AV33" s="9"/>
      <c r="AW33" s="7"/>
      <c r="AX33" s="5"/>
      <c r="AY33" s="4"/>
      <c r="AZ33" s="9"/>
      <c r="BA33" s="6"/>
      <c r="BB33" s="2"/>
      <c r="BD33" s="9">
        <f t="shared" si="29"/>
        <v>0</v>
      </c>
      <c r="BE33" s="5"/>
      <c r="BF33" s="4"/>
    </row>
    <row r="34" spans="1:58" x14ac:dyDescent="0.25">
      <c r="A34" s="3">
        <v>32</v>
      </c>
      <c r="B34" s="3"/>
      <c r="C34" s="9"/>
      <c r="D34" s="7"/>
      <c r="E34" s="5"/>
      <c r="F34" s="4"/>
      <c r="G34" s="9"/>
      <c r="I34" s="5"/>
      <c r="J34" s="4"/>
      <c r="K34" s="9"/>
      <c r="Y34" s="9">
        <f t="shared" si="2"/>
        <v>0</v>
      </c>
      <c r="Z34" s="5">
        <f t="shared" si="23"/>
        <v>0</v>
      </c>
      <c r="AA34" s="4">
        <f t="shared" si="23"/>
        <v>0</v>
      </c>
      <c r="AP34" s="3">
        <v>32</v>
      </c>
      <c r="AQ34" s="3"/>
      <c r="AR34" s="9"/>
      <c r="AS34" s="7"/>
      <c r="AT34" s="5"/>
      <c r="AU34" s="4"/>
      <c r="AV34" s="9"/>
      <c r="AW34" s="7"/>
      <c r="AX34" s="5"/>
      <c r="AY34" s="4"/>
      <c r="AZ34" s="9"/>
      <c r="BA34" s="6"/>
      <c r="BB34" s="2"/>
      <c r="BD34" s="9">
        <f t="shared" si="29"/>
        <v>0</v>
      </c>
      <c r="BE34" s="5"/>
      <c r="BF34" s="4"/>
    </row>
    <row r="35" spans="1:58" x14ac:dyDescent="0.25">
      <c r="A35" s="3">
        <v>33</v>
      </c>
      <c r="B35" s="3"/>
      <c r="C35" s="9"/>
      <c r="D35" s="7"/>
      <c r="E35" s="5"/>
      <c r="F35" s="4"/>
      <c r="G35" s="9"/>
      <c r="I35" s="5"/>
      <c r="J35" s="4"/>
      <c r="K35" s="9"/>
      <c r="Y35" s="9">
        <f t="shared" si="2"/>
        <v>0</v>
      </c>
      <c r="Z35" s="5">
        <f t="shared" si="23"/>
        <v>0</v>
      </c>
      <c r="AA35" s="4">
        <f t="shared" si="23"/>
        <v>0</v>
      </c>
      <c r="AP35" s="3">
        <v>33</v>
      </c>
      <c r="AQ35" s="3"/>
      <c r="AR35" s="9"/>
      <c r="AS35" s="7"/>
      <c r="AT35" s="5"/>
      <c r="AU35" s="4"/>
      <c r="AV35" s="9"/>
      <c r="AW35" s="7"/>
      <c r="AX35" s="5"/>
      <c r="AY35" s="4"/>
      <c r="AZ35" s="9"/>
      <c r="BA35" s="6"/>
      <c r="BB35" s="2"/>
      <c r="BD35" s="9">
        <f t="shared" si="29"/>
        <v>0</v>
      </c>
      <c r="BE35" s="5"/>
      <c r="BF35" s="4"/>
    </row>
    <row r="36" spans="1:58" x14ac:dyDescent="0.25">
      <c r="A36" s="3">
        <v>34</v>
      </c>
      <c r="B36" s="3"/>
      <c r="C36" s="9"/>
      <c r="D36" s="7"/>
      <c r="E36" s="5"/>
      <c r="F36" s="4"/>
      <c r="G36" s="9"/>
      <c r="I36" s="5"/>
      <c r="J36" s="4"/>
      <c r="K36" s="9"/>
      <c r="Y36" s="9">
        <f t="shared" si="2"/>
        <v>0</v>
      </c>
      <c r="Z36" s="5">
        <f t="shared" si="23"/>
        <v>0</v>
      </c>
      <c r="AA36" s="4">
        <f t="shared" si="23"/>
        <v>0</v>
      </c>
      <c r="AP36" s="3">
        <v>34</v>
      </c>
      <c r="AQ36" s="3"/>
      <c r="AR36" s="9"/>
      <c r="AS36" s="7"/>
      <c r="AT36" s="5"/>
      <c r="AU36" s="4"/>
      <c r="AV36" s="9"/>
      <c r="AW36" s="7"/>
      <c r="AX36" s="5"/>
      <c r="AY36" s="4"/>
      <c r="AZ36" s="9"/>
      <c r="BA36" s="6"/>
      <c r="BB36" s="2"/>
      <c r="BD36" s="9">
        <f t="shared" si="29"/>
        <v>0</v>
      </c>
      <c r="BE36" s="5"/>
      <c r="BF36" s="4"/>
    </row>
    <row r="37" spans="1:58" x14ac:dyDescent="0.25">
      <c r="A37" s="3">
        <v>35</v>
      </c>
      <c r="B37" s="3"/>
      <c r="C37" s="9"/>
      <c r="D37" s="7"/>
      <c r="E37" s="5"/>
      <c r="F37" s="4"/>
      <c r="G37" s="9"/>
      <c r="I37" s="5"/>
      <c r="J37" s="4"/>
      <c r="K37" s="9"/>
      <c r="Y37" s="9">
        <f t="shared" si="2"/>
        <v>0</v>
      </c>
      <c r="Z37" s="5">
        <f t="shared" si="23"/>
        <v>0</v>
      </c>
      <c r="AA37" s="4">
        <f t="shared" si="23"/>
        <v>0</v>
      </c>
      <c r="AP37" s="3">
        <v>35</v>
      </c>
      <c r="AQ37" s="3"/>
      <c r="AR37" s="9"/>
      <c r="AS37" s="7"/>
      <c r="AT37" s="5"/>
      <c r="AU37" s="4"/>
      <c r="AV37" s="9"/>
      <c r="AW37" s="7"/>
      <c r="AX37" s="5"/>
      <c r="AY37" s="4"/>
      <c r="AZ37" s="9"/>
      <c r="BA37" s="6"/>
      <c r="BB37" s="2"/>
      <c r="BD37" s="9">
        <f t="shared" si="29"/>
        <v>0</v>
      </c>
      <c r="BE37" s="5"/>
      <c r="BF37" s="4"/>
    </row>
    <row r="38" spans="1:58" x14ac:dyDescent="0.25">
      <c r="A38" s="3">
        <v>36</v>
      </c>
      <c r="B38" s="3"/>
      <c r="C38" s="9"/>
      <c r="D38" s="7"/>
      <c r="E38" s="5"/>
      <c r="F38" s="4"/>
      <c r="G38" s="9"/>
      <c r="I38" s="5"/>
      <c r="J38" s="4"/>
      <c r="K38" s="9"/>
      <c r="Y38" s="9">
        <f t="shared" si="2"/>
        <v>0</v>
      </c>
      <c r="Z38" s="5">
        <f t="shared" si="23"/>
        <v>0</v>
      </c>
      <c r="AA38" s="4">
        <f t="shared" si="23"/>
        <v>0</v>
      </c>
      <c r="AP38" s="3">
        <v>36</v>
      </c>
      <c r="AQ38" s="3"/>
      <c r="AR38" s="9"/>
      <c r="AS38" s="7"/>
      <c r="AT38" s="5"/>
      <c r="AU38" s="4"/>
      <c r="AV38" s="9"/>
      <c r="AW38" s="7"/>
      <c r="AX38" s="5"/>
      <c r="AY38" s="4"/>
      <c r="AZ38" s="9"/>
      <c r="BA38" s="6"/>
      <c r="BB38" s="2"/>
      <c r="BD38" s="9">
        <f t="shared" si="29"/>
        <v>0</v>
      </c>
      <c r="BE38" s="5"/>
      <c r="BF38" s="4"/>
    </row>
    <row r="39" spans="1:58" x14ac:dyDescent="0.25">
      <c r="A39" s="3"/>
      <c r="B39" s="3"/>
      <c r="C39" s="9"/>
      <c r="D39" s="7"/>
      <c r="E39" s="5"/>
      <c r="F39" s="4"/>
      <c r="G39" s="9"/>
      <c r="I39" s="5"/>
      <c r="J39" s="4"/>
      <c r="K39" s="9"/>
      <c r="Y39" s="9"/>
      <c r="Z39" s="5"/>
      <c r="AA39" s="4"/>
    </row>
    <row r="40" spans="1:58" x14ac:dyDescent="0.25">
      <c r="A40" s="3"/>
      <c r="B40" s="3"/>
      <c r="C40" s="9"/>
      <c r="D40" s="7"/>
      <c r="E40" s="5"/>
      <c r="F40" s="4"/>
      <c r="G40" s="9"/>
      <c r="I40" s="5"/>
      <c r="J40" s="4"/>
      <c r="K40" s="9"/>
      <c r="Y40" s="9"/>
      <c r="Z40" s="5"/>
      <c r="AA40" s="4"/>
    </row>
    <row r="41" spans="1:58" x14ac:dyDescent="0.25">
      <c r="A41" s="3"/>
      <c r="B41" s="3"/>
      <c r="C41" s="9"/>
      <c r="D41" s="7"/>
      <c r="E41" s="5"/>
      <c r="F41" s="4"/>
      <c r="G41" s="9"/>
      <c r="I41" s="5"/>
      <c r="J41" s="4"/>
      <c r="K41" s="9"/>
      <c r="Y41" s="9"/>
      <c r="Z41" s="5"/>
      <c r="AA41" s="4"/>
    </row>
    <row r="42" spans="1:58" x14ac:dyDescent="0.25">
      <c r="A42" s="3"/>
      <c r="B42" s="3"/>
      <c r="C42" s="9"/>
      <c r="D42" s="7"/>
      <c r="E42" s="5"/>
      <c r="F42" s="4"/>
      <c r="G42" s="9"/>
      <c r="I42" s="5"/>
      <c r="J42" s="4"/>
      <c r="K42" s="9"/>
      <c r="Y42" s="9"/>
      <c r="Z42" s="5"/>
      <c r="AA42" s="4"/>
    </row>
    <row r="43" spans="1:58" x14ac:dyDescent="0.25">
      <c r="A43" s="3"/>
      <c r="B43" s="3"/>
      <c r="C43" s="9"/>
      <c r="D43" s="7"/>
      <c r="E43" s="5"/>
      <c r="F43" s="4"/>
      <c r="G43" s="9"/>
      <c r="I43" s="5"/>
      <c r="J43" s="4"/>
      <c r="K43" s="9"/>
      <c r="Y43" s="9"/>
      <c r="Z43" s="5"/>
      <c r="AA43" s="4"/>
    </row>
    <row r="44" spans="1:58" x14ac:dyDescent="0.25">
      <c r="A44" s="3"/>
      <c r="B44" s="3"/>
      <c r="C44" s="9"/>
      <c r="D44" s="7"/>
      <c r="E44" s="5"/>
      <c r="F44" s="4"/>
      <c r="G44" s="9"/>
      <c r="I44" s="5"/>
      <c r="J44" s="4"/>
      <c r="K44" s="9"/>
      <c r="Y44" s="9"/>
      <c r="Z44" s="5"/>
      <c r="AA44" s="4"/>
    </row>
    <row r="45" spans="1:58" x14ac:dyDescent="0.25">
      <c r="A45" s="3"/>
      <c r="B45" s="3"/>
      <c r="C45" s="9"/>
      <c r="D45" s="7"/>
      <c r="E45" s="5"/>
      <c r="F45" s="4"/>
      <c r="G45" s="9"/>
      <c r="I45" s="5"/>
      <c r="J45" s="4"/>
      <c r="K45" s="9"/>
      <c r="Y45" s="9"/>
      <c r="Z45" s="5"/>
      <c r="AA45" s="4"/>
    </row>
    <row r="46" spans="1:58" x14ac:dyDescent="0.25">
      <c r="A46" s="3"/>
      <c r="B46" s="3"/>
      <c r="C46" s="9"/>
      <c r="D46" s="7"/>
      <c r="E46" s="5"/>
      <c r="F46" s="4"/>
      <c r="G46" s="9"/>
      <c r="I46" s="5"/>
      <c r="J46" s="4"/>
      <c r="K46" s="9"/>
      <c r="Y46" s="9"/>
      <c r="Z46" s="5"/>
      <c r="AA46" s="4"/>
    </row>
    <row r="47" spans="1:58" x14ac:dyDescent="0.25">
      <c r="A47" s="3"/>
      <c r="B47" s="3"/>
      <c r="C47" s="9"/>
      <c r="D47" s="7"/>
      <c r="E47" s="5"/>
      <c r="F47" s="4"/>
      <c r="G47" s="9"/>
      <c r="I47" s="5"/>
      <c r="J47" s="4"/>
      <c r="K47" s="9"/>
      <c r="Y47" s="9"/>
      <c r="Z47" s="5"/>
      <c r="AA47" s="4"/>
    </row>
    <row r="48" spans="1:58" x14ac:dyDescent="0.25">
      <c r="A48" s="3"/>
      <c r="B48" s="3"/>
      <c r="C48" s="9"/>
      <c r="D48" s="7"/>
      <c r="E48" s="5"/>
      <c r="F48" s="4"/>
      <c r="G48" s="9"/>
      <c r="I48" s="5"/>
      <c r="J48" s="4"/>
      <c r="K48" s="9"/>
      <c r="Y48" s="9"/>
      <c r="Z48" s="5"/>
      <c r="AA48" s="4"/>
    </row>
    <row r="49" spans="1:27" x14ac:dyDescent="0.25">
      <c r="A49" s="3"/>
      <c r="B49" s="3"/>
      <c r="C49" s="9"/>
      <c r="D49" s="7"/>
      <c r="E49" s="5"/>
      <c r="F49" s="4"/>
      <c r="G49" s="9"/>
      <c r="I49" s="5"/>
      <c r="J49" s="4"/>
      <c r="K49" s="9"/>
      <c r="Y49" s="9"/>
      <c r="Z49" s="5"/>
      <c r="AA49" s="4"/>
    </row>
    <row r="50" spans="1:27" x14ac:dyDescent="0.25">
      <c r="A50" s="3"/>
      <c r="B50" s="3"/>
      <c r="C50" s="9"/>
      <c r="D50" s="7"/>
      <c r="E50" s="5"/>
      <c r="F50" s="4"/>
      <c r="G50" s="9"/>
      <c r="I50" s="5"/>
      <c r="J50" s="4"/>
      <c r="K50" s="9"/>
      <c r="Y50" s="9"/>
      <c r="Z50" s="5"/>
      <c r="AA50" s="4"/>
    </row>
    <row r="51" spans="1:27" x14ac:dyDescent="0.25">
      <c r="A51" s="3"/>
      <c r="B51" s="3"/>
      <c r="C51" s="9"/>
      <c r="D51" s="7"/>
      <c r="E51" s="5"/>
      <c r="F51" s="4"/>
      <c r="G51" s="9"/>
      <c r="I51" s="5"/>
      <c r="J51" s="4"/>
      <c r="K51" s="9"/>
      <c r="Y51" s="9"/>
      <c r="Z51" s="5"/>
      <c r="AA51" s="4"/>
    </row>
    <row r="52" spans="1:27" x14ac:dyDescent="0.25">
      <c r="A52" s="3"/>
      <c r="B52" s="3"/>
      <c r="C52" s="9"/>
      <c r="D52" s="7"/>
      <c r="E52" s="5"/>
      <c r="F52" s="4"/>
      <c r="G52" s="9"/>
      <c r="I52" s="5"/>
      <c r="J52" s="4"/>
      <c r="K52" s="9"/>
      <c r="Y52" s="9"/>
    </row>
    <row r="53" spans="1:27" x14ac:dyDescent="0.25">
      <c r="A53" s="3"/>
      <c r="B53" s="3"/>
      <c r="C53" s="9"/>
      <c r="D53" s="7"/>
      <c r="E53" s="5"/>
      <c r="F53" s="4"/>
      <c r="G53" s="9"/>
      <c r="I53" s="5"/>
      <c r="J53" s="4"/>
      <c r="K53" s="9"/>
      <c r="Y53" s="9"/>
    </row>
    <row r="54" spans="1:27" x14ac:dyDescent="0.25">
      <c r="A54" s="3"/>
      <c r="B54" s="3"/>
      <c r="C54" s="9"/>
      <c r="D54" s="7"/>
      <c r="E54" s="5"/>
      <c r="F54" s="4"/>
      <c r="G54" s="9"/>
      <c r="I54" s="5"/>
      <c r="J54" s="4"/>
      <c r="K54" s="9"/>
      <c r="Y54" s="9"/>
    </row>
    <row r="55" spans="1:27" x14ac:dyDescent="0.25">
      <c r="A55" s="3"/>
      <c r="B55" s="3"/>
      <c r="C55" s="9"/>
      <c r="D55" s="7"/>
      <c r="E55" s="5"/>
      <c r="F55" s="4"/>
      <c r="G55" s="9"/>
      <c r="I55" s="5"/>
      <c r="J55" s="4"/>
      <c r="K55" s="9"/>
      <c r="Y55" s="9"/>
    </row>
    <row r="56" spans="1:27" x14ac:dyDescent="0.25">
      <c r="A56" s="3"/>
      <c r="B56" s="3"/>
      <c r="C56" s="9"/>
      <c r="D56" s="7"/>
      <c r="E56" s="5"/>
      <c r="F56" s="4"/>
      <c r="G56" s="9"/>
      <c r="I56" s="5"/>
      <c r="J56" s="4"/>
      <c r="K56" s="9"/>
      <c r="Y56" s="9"/>
    </row>
    <row r="57" spans="1:27" x14ac:dyDescent="0.25">
      <c r="A57" s="3"/>
      <c r="B57" s="3"/>
      <c r="C57" s="9"/>
      <c r="D57" s="7"/>
      <c r="E57" s="5"/>
      <c r="F57" s="4"/>
      <c r="G57" s="9"/>
      <c r="I57" s="5"/>
      <c r="J57" s="4"/>
      <c r="K57" s="9"/>
      <c r="Y57" s="9"/>
    </row>
    <row r="58" spans="1:27" x14ac:dyDescent="0.25">
      <c r="A58" s="3"/>
      <c r="B58" s="3"/>
      <c r="C58" s="9"/>
      <c r="D58" s="7"/>
      <c r="E58" s="5"/>
      <c r="F58" s="4"/>
      <c r="G58" s="9"/>
      <c r="I58" s="5"/>
      <c r="J58" s="4"/>
      <c r="K58" s="9"/>
      <c r="Y58" s="9"/>
    </row>
    <row r="59" spans="1:27" x14ac:dyDescent="0.25">
      <c r="A59" s="3"/>
      <c r="B59" s="3"/>
      <c r="C59" s="9"/>
      <c r="D59" s="7"/>
      <c r="E59" s="5"/>
      <c r="F59" s="4"/>
      <c r="G59" s="9"/>
      <c r="I59" s="5"/>
      <c r="J59" s="4"/>
      <c r="K59" s="9"/>
      <c r="Y59" s="9"/>
    </row>
    <row r="60" spans="1:27" x14ac:dyDescent="0.25">
      <c r="A60" s="3"/>
      <c r="B60" s="3"/>
      <c r="C60" s="9"/>
      <c r="D60" s="7"/>
      <c r="E60" s="5"/>
      <c r="F60" s="4"/>
      <c r="G60" s="9"/>
      <c r="I60" s="5"/>
      <c r="J60" s="4"/>
      <c r="K60" s="9"/>
      <c r="Y60" s="9"/>
    </row>
    <row r="61" spans="1:27" x14ac:dyDescent="0.25">
      <c r="A61" s="3"/>
      <c r="B61" s="3"/>
      <c r="C61" s="9"/>
      <c r="D61" s="7"/>
      <c r="E61" s="5"/>
      <c r="F61" s="4"/>
      <c r="G61" s="9"/>
      <c r="I61" s="5"/>
      <c r="J61" s="4"/>
      <c r="K61" s="9"/>
      <c r="Y61" s="9"/>
    </row>
    <row r="62" spans="1:27" x14ac:dyDescent="0.25">
      <c r="A62" s="3"/>
      <c r="B62" s="3"/>
      <c r="C62" s="9"/>
      <c r="D62" s="7"/>
      <c r="E62" s="5"/>
      <c r="F62" s="4"/>
      <c r="G62" s="9"/>
      <c r="I62" s="5"/>
      <c r="J62" s="4"/>
      <c r="K62" s="9"/>
      <c r="Y62" s="9"/>
    </row>
    <row r="63" spans="1:27" x14ac:dyDescent="0.25">
      <c r="A63" s="3"/>
      <c r="B63" s="3"/>
      <c r="C63" s="9"/>
      <c r="D63" s="7"/>
      <c r="E63" s="5"/>
      <c r="F63" s="4"/>
      <c r="G63" s="9"/>
      <c r="I63" s="5"/>
      <c r="J63" s="4"/>
      <c r="K63" s="9"/>
      <c r="Y63" s="9"/>
    </row>
    <row r="64" spans="1:27" x14ac:dyDescent="0.25">
      <c r="A64" s="3"/>
      <c r="B64" s="3"/>
      <c r="C64" s="9"/>
      <c r="D64" s="7"/>
      <c r="E64" s="5"/>
      <c r="F64" s="4"/>
      <c r="G64" s="9"/>
      <c r="I64" s="5"/>
      <c r="J64" s="4"/>
      <c r="K64" s="9"/>
      <c r="Y64" s="9"/>
    </row>
    <row r="65" spans="1:25" x14ac:dyDescent="0.25">
      <c r="A65" s="3"/>
      <c r="B65" s="3"/>
      <c r="C65" s="9"/>
      <c r="D65" s="7"/>
      <c r="E65" s="5"/>
      <c r="F65" s="4"/>
      <c r="G65" s="9"/>
      <c r="I65" s="5"/>
      <c r="J65" s="4"/>
      <c r="K65" s="9"/>
      <c r="Y65" s="9"/>
    </row>
    <row r="66" spans="1:25" x14ac:dyDescent="0.25">
      <c r="A66" s="3"/>
      <c r="B66" s="3"/>
      <c r="C66" s="9"/>
      <c r="D66" s="7"/>
      <c r="E66" s="5"/>
      <c r="F66" s="4"/>
      <c r="G66" s="9"/>
      <c r="I66" s="5"/>
      <c r="J66" s="4"/>
      <c r="K66" s="9"/>
      <c r="Y66" s="9"/>
    </row>
    <row r="67" spans="1:25" x14ac:dyDescent="0.25">
      <c r="A67" s="3"/>
      <c r="B67" s="3"/>
      <c r="C67" s="9"/>
      <c r="D67" s="7"/>
      <c r="E67" s="5"/>
      <c r="F67" s="4"/>
      <c r="G67" s="9"/>
      <c r="I67" s="5"/>
      <c r="J67" s="4"/>
      <c r="K67" s="9"/>
      <c r="Y67" s="9"/>
    </row>
    <row r="68" spans="1:25" x14ac:dyDescent="0.25">
      <c r="A68" s="3"/>
      <c r="B68" s="3"/>
      <c r="C68" s="9"/>
      <c r="D68" s="7"/>
      <c r="E68" s="5"/>
      <c r="F68" s="4"/>
      <c r="G68" s="9"/>
      <c r="I68" s="5"/>
      <c r="J68" s="4"/>
      <c r="K68" s="9"/>
      <c r="Y68" s="9"/>
    </row>
    <row r="69" spans="1:25" x14ac:dyDescent="0.25">
      <c r="A69" s="3"/>
      <c r="B69" s="3"/>
      <c r="C69" s="9"/>
      <c r="D69" s="7"/>
      <c r="E69" s="5"/>
      <c r="F69" s="4"/>
      <c r="G69" s="9"/>
      <c r="I69" s="5"/>
      <c r="J69" s="4"/>
      <c r="K69" s="9"/>
      <c r="Y69" s="9"/>
    </row>
    <row r="70" spans="1:25" x14ac:dyDescent="0.25">
      <c r="A70" s="3"/>
      <c r="B70" s="3"/>
      <c r="C70" s="9"/>
      <c r="D70" s="7"/>
      <c r="E70" s="5"/>
      <c r="F70" s="4"/>
      <c r="G70" s="9"/>
      <c r="I70" s="5"/>
      <c r="J70" s="4"/>
      <c r="K70" s="9"/>
      <c r="Y70" s="9"/>
    </row>
    <row r="71" spans="1:25" x14ac:dyDescent="0.25">
      <c r="A71" s="3"/>
      <c r="B71" s="3"/>
      <c r="C71" s="9"/>
      <c r="D71" s="7"/>
      <c r="E71" s="5"/>
      <c r="F71" s="4"/>
      <c r="G71" s="9"/>
      <c r="I71" s="5"/>
      <c r="J71" s="4"/>
      <c r="K71" s="9"/>
      <c r="Y71" s="9"/>
    </row>
    <row r="72" spans="1:25" x14ac:dyDescent="0.25">
      <c r="A72" s="3"/>
      <c r="B72" s="3"/>
      <c r="C72" s="9"/>
      <c r="D72" s="7"/>
      <c r="E72" s="5"/>
      <c r="F72" s="4"/>
      <c r="G72" s="9"/>
      <c r="I72" s="5"/>
      <c r="J72" s="4"/>
      <c r="K72" s="9"/>
      <c r="Y72" s="9"/>
    </row>
    <row r="73" spans="1:25" x14ac:dyDescent="0.25">
      <c r="A73" s="3"/>
      <c r="B73" s="3"/>
      <c r="C73" s="9"/>
      <c r="D73" s="7"/>
      <c r="E73" s="5"/>
      <c r="F73" s="4"/>
      <c r="G73" s="9"/>
      <c r="I73" s="5"/>
      <c r="J73" s="4"/>
      <c r="K73" s="9"/>
      <c r="Y73" s="9"/>
    </row>
    <row r="74" spans="1:25" x14ac:dyDescent="0.25">
      <c r="A74" s="3"/>
      <c r="B74" s="3"/>
      <c r="C74" s="9"/>
      <c r="D74" s="7"/>
      <c r="E74" s="5"/>
      <c r="F74" s="4"/>
      <c r="G74" s="9"/>
      <c r="I74" s="5"/>
      <c r="J74" s="4"/>
      <c r="K74" s="9"/>
      <c r="Y74" s="9"/>
    </row>
    <row r="75" spans="1:25" x14ac:dyDescent="0.25">
      <c r="A75" s="3"/>
      <c r="B75" s="3"/>
      <c r="C75" s="9"/>
      <c r="D75" s="7"/>
      <c r="E75" s="5"/>
      <c r="F75" s="4"/>
      <c r="G75" s="9"/>
      <c r="I75" s="5"/>
      <c r="J75" s="4"/>
      <c r="K75" s="9"/>
      <c r="Y75" s="9"/>
    </row>
    <row r="76" spans="1:25" x14ac:dyDescent="0.25">
      <c r="A76" s="3"/>
      <c r="B76" s="3"/>
      <c r="C76" s="9"/>
      <c r="D76" s="7"/>
      <c r="E76" s="5"/>
      <c r="F76" s="4"/>
      <c r="G76" s="9"/>
      <c r="I76" s="5"/>
      <c r="J76" s="4"/>
      <c r="K76" s="9"/>
      <c r="Y76" s="9"/>
    </row>
    <row r="77" spans="1:25" x14ac:dyDescent="0.25">
      <c r="A77" s="3"/>
      <c r="B77" s="3"/>
      <c r="C77" s="9"/>
      <c r="D77" s="7"/>
      <c r="E77" s="5"/>
      <c r="F77" s="4"/>
      <c r="G77" s="9"/>
      <c r="I77" s="5"/>
      <c r="J77" s="4"/>
      <c r="K77" s="9"/>
      <c r="Y77" s="9"/>
    </row>
    <row r="78" spans="1:25" x14ac:dyDescent="0.25">
      <c r="A78" s="3"/>
      <c r="B78" s="3"/>
      <c r="C78" s="9"/>
      <c r="D78" s="7"/>
      <c r="E78" s="5"/>
      <c r="F78" s="4"/>
      <c r="G78" s="9"/>
      <c r="I78" s="5"/>
      <c r="J78" s="4"/>
      <c r="K78" s="9"/>
      <c r="Y78" s="9"/>
    </row>
    <row r="79" spans="1:25" x14ac:dyDescent="0.25">
      <c r="A79" s="3"/>
      <c r="B79" s="3"/>
      <c r="C79" s="9"/>
      <c r="D79" s="7"/>
      <c r="E79" s="5"/>
      <c r="F79" s="4"/>
      <c r="G79" s="9"/>
      <c r="I79" s="5"/>
      <c r="J79" s="4"/>
      <c r="K79" s="9"/>
      <c r="Y79" s="9"/>
    </row>
    <row r="80" spans="1:25" x14ac:dyDescent="0.25">
      <c r="A80" s="3"/>
      <c r="B80" s="3"/>
      <c r="C80" s="9"/>
      <c r="D80" s="7"/>
      <c r="E80" s="5"/>
      <c r="F80" s="4"/>
      <c r="G80" s="9"/>
      <c r="I80" s="5"/>
      <c r="J80" s="4"/>
      <c r="K80" s="9"/>
      <c r="Y80" s="9"/>
    </row>
    <row r="81" spans="1:25" x14ac:dyDescent="0.25">
      <c r="A81" s="3"/>
      <c r="B81" s="3"/>
      <c r="C81" s="9"/>
      <c r="D81" s="7"/>
      <c r="E81" s="5"/>
      <c r="F81" s="4"/>
      <c r="G81" s="9"/>
      <c r="I81" s="5"/>
      <c r="J81" s="4"/>
      <c r="K81" s="9"/>
      <c r="Y81" s="9"/>
    </row>
    <row r="82" spans="1:25" x14ac:dyDescent="0.25">
      <c r="A82" s="3"/>
      <c r="B82" s="3"/>
      <c r="C82" s="9"/>
      <c r="D82" s="7"/>
      <c r="E82" s="5"/>
      <c r="F82" s="4"/>
      <c r="G82" s="9"/>
      <c r="I82" s="5"/>
      <c r="J82" s="4"/>
      <c r="K82" s="9"/>
      <c r="Y82" s="9"/>
    </row>
    <row r="83" spans="1:25" x14ac:dyDescent="0.25">
      <c r="A83" s="3"/>
      <c r="B83" s="3"/>
      <c r="C83" s="9"/>
      <c r="D83" s="7"/>
      <c r="E83" s="5"/>
      <c r="F83" s="4"/>
      <c r="G83" s="9"/>
      <c r="I83" s="5"/>
      <c r="J83" s="4"/>
      <c r="K83" s="9"/>
      <c r="Y83" s="9"/>
    </row>
    <row r="84" spans="1:25" x14ac:dyDescent="0.25">
      <c r="A84" s="3"/>
      <c r="B84" s="3"/>
      <c r="C84" s="9"/>
      <c r="D84" s="7"/>
      <c r="E84" s="5"/>
      <c r="F84" s="4"/>
      <c r="G84" s="9"/>
      <c r="I84" s="5"/>
      <c r="J84" s="4"/>
      <c r="K84" s="9"/>
      <c r="Y84" s="9"/>
    </row>
    <row r="85" spans="1:25" x14ac:dyDescent="0.25">
      <c r="A85" s="3"/>
      <c r="B85" s="3"/>
      <c r="C85" s="9"/>
      <c r="D85" s="7"/>
      <c r="E85" s="5"/>
      <c r="F85" s="4"/>
      <c r="G85" s="9"/>
      <c r="I85" s="5"/>
      <c r="J85" s="4"/>
      <c r="K85" s="9"/>
      <c r="Y85" s="9"/>
    </row>
    <row r="86" spans="1:25" x14ac:dyDescent="0.25">
      <c r="A86" s="3"/>
      <c r="B86" s="3"/>
      <c r="C86" s="9"/>
      <c r="D86" s="7"/>
      <c r="E86" s="5"/>
      <c r="F86" s="4"/>
      <c r="G86" s="9"/>
      <c r="I86" s="5"/>
      <c r="J86" s="4"/>
      <c r="K86" s="9"/>
      <c r="Y86" s="9"/>
    </row>
    <row r="87" spans="1:25" x14ac:dyDescent="0.25">
      <c r="A87" s="3"/>
      <c r="B87" s="3"/>
      <c r="C87" s="9"/>
      <c r="D87" s="7"/>
      <c r="E87" s="5"/>
      <c r="F87" s="4"/>
      <c r="G87" s="9"/>
      <c r="I87" s="5"/>
      <c r="J87" s="4"/>
      <c r="K87" s="9"/>
      <c r="Y87" s="9"/>
    </row>
    <row r="88" spans="1:25" x14ac:dyDescent="0.25">
      <c r="A88" s="3"/>
      <c r="B88" s="3"/>
      <c r="C88" s="9"/>
      <c r="D88" s="7"/>
      <c r="E88" s="5"/>
      <c r="F88" s="4"/>
      <c r="G88" s="9"/>
      <c r="I88" s="5"/>
      <c r="J88" s="4"/>
      <c r="K88" s="9"/>
      <c r="Y88" s="9"/>
    </row>
    <row r="89" spans="1:25" x14ac:dyDescent="0.25">
      <c r="A89" s="3"/>
      <c r="B89" s="3"/>
      <c r="C89" s="9"/>
      <c r="D89" s="7"/>
      <c r="E89" s="5"/>
      <c r="F89" s="4"/>
      <c r="G89" s="9"/>
      <c r="I89" s="5"/>
      <c r="J89" s="4"/>
      <c r="K89" s="9"/>
      <c r="Y89" s="9"/>
    </row>
    <row r="90" spans="1:25" x14ac:dyDescent="0.25">
      <c r="A90" s="3"/>
      <c r="B90" s="3"/>
      <c r="C90" s="9"/>
      <c r="D90" s="7"/>
      <c r="E90" s="5"/>
      <c r="F90" s="4"/>
      <c r="G90" s="9"/>
      <c r="I90" s="5"/>
      <c r="J90" s="4"/>
      <c r="K90" s="9"/>
      <c r="Y90" s="9"/>
    </row>
    <row r="91" spans="1:25" x14ac:dyDescent="0.25">
      <c r="A91" s="3"/>
      <c r="B91" s="3"/>
      <c r="C91" s="9"/>
      <c r="D91" s="7"/>
      <c r="E91" s="5"/>
      <c r="F91" s="4"/>
      <c r="G91" s="9"/>
      <c r="I91" s="5"/>
      <c r="J91" s="4"/>
      <c r="K91" s="9"/>
      <c r="Y91" s="9"/>
    </row>
    <row r="92" spans="1:25" x14ac:dyDescent="0.25">
      <c r="A92" s="3"/>
      <c r="B92" s="3"/>
      <c r="C92" s="9"/>
      <c r="D92" s="7"/>
      <c r="E92" s="5"/>
      <c r="F92" s="4"/>
      <c r="G92" s="9"/>
      <c r="I92" s="5"/>
      <c r="J92" s="4"/>
      <c r="K92" s="9"/>
      <c r="Y92" s="9"/>
    </row>
    <row r="93" spans="1:25" x14ac:dyDescent="0.25">
      <c r="A93" s="3"/>
      <c r="B93" s="3"/>
      <c r="C93" s="9"/>
      <c r="D93" s="7"/>
      <c r="E93" s="5"/>
      <c r="F93" s="4"/>
      <c r="G93" s="9"/>
      <c r="I93" s="5"/>
      <c r="J93" s="4"/>
      <c r="K93" s="9"/>
      <c r="Y93" s="9"/>
    </row>
    <row r="94" spans="1:25" x14ac:dyDescent="0.25">
      <c r="A94" s="3"/>
      <c r="B94" s="3"/>
      <c r="C94" s="9"/>
      <c r="D94" s="7"/>
      <c r="E94" s="5"/>
      <c r="F94" s="4"/>
      <c r="G94" s="9"/>
      <c r="I94" s="5"/>
      <c r="J94" s="4"/>
      <c r="K94" s="9"/>
      <c r="Y94" s="9"/>
    </row>
    <row r="95" spans="1:25" x14ac:dyDescent="0.25">
      <c r="A95" s="3"/>
      <c r="B95" s="3"/>
      <c r="C95" s="9"/>
      <c r="D95" s="7"/>
      <c r="E95" s="5"/>
      <c r="F95" s="4"/>
      <c r="G95" s="9"/>
      <c r="I95" s="5"/>
      <c r="J95" s="4"/>
      <c r="K95" s="9"/>
      <c r="Y95" s="9"/>
    </row>
    <row r="96" spans="1:25" x14ac:dyDescent="0.25">
      <c r="A96" s="3"/>
      <c r="B96" s="3"/>
      <c r="C96" s="9"/>
      <c r="D96" s="7"/>
      <c r="E96" s="5"/>
      <c r="F96" s="4"/>
      <c r="G96" s="9"/>
      <c r="I96" s="5"/>
      <c r="J96" s="4"/>
      <c r="K96" s="9"/>
      <c r="Y96" s="9"/>
    </row>
    <row r="97" spans="1:25" x14ac:dyDescent="0.25">
      <c r="A97" s="3"/>
      <c r="B97" s="3"/>
      <c r="C97" s="9"/>
      <c r="D97" s="7"/>
      <c r="E97" s="5"/>
      <c r="F97" s="4"/>
      <c r="G97" s="9"/>
      <c r="I97" s="5"/>
      <c r="J97" s="4"/>
      <c r="K97" s="9"/>
      <c r="Y97" s="9"/>
    </row>
    <row r="98" spans="1:25" x14ac:dyDescent="0.25">
      <c r="A98" s="3"/>
      <c r="B98" s="3"/>
      <c r="C98" s="9"/>
      <c r="D98" s="7"/>
      <c r="E98" s="5"/>
      <c r="F98" s="4"/>
      <c r="G98" s="9"/>
      <c r="I98" s="5"/>
      <c r="J98" s="4"/>
      <c r="K98" s="9"/>
      <c r="Y98" s="9"/>
    </row>
    <row r="99" spans="1:25" x14ac:dyDescent="0.25">
      <c r="A99" s="3"/>
      <c r="B99" s="3"/>
      <c r="C99" s="9"/>
      <c r="D99" s="7"/>
      <c r="E99" s="5"/>
      <c r="F99" s="4"/>
      <c r="G99" s="9"/>
      <c r="I99" s="5"/>
      <c r="J99" s="4"/>
      <c r="K99" s="9"/>
      <c r="Y99" s="9"/>
    </row>
    <row r="100" spans="1:25" x14ac:dyDescent="0.25">
      <c r="A100" s="3"/>
      <c r="B100" s="3"/>
      <c r="C100" s="9"/>
      <c r="D100" s="7"/>
      <c r="E100" s="5"/>
      <c r="F100" s="4"/>
      <c r="G100" s="9"/>
      <c r="I100" s="5"/>
      <c r="J100" s="4"/>
      <c r="K100" s="9"/>
      <c r="Y100" s="9"/>
    </row>
    <row r="101" spans="1:25" x14ac:dyDescent="0.25">
      <c r="A101" s="3"/>
      <c r="B101" s="3"/>
      <c r="C101" s="9"/>
      <c r="D101" s="7"/>
      <c r="E101" s="5"/>
      <c r="F101" s="4"/>
      <c r="G101" s="9"/>
      <c r="I101" s="5"/>
      <c r="J101" s="4"/>
      <c r="K101" s="9"/>
      <c r="Y101" s="9"/>
    </row>
    <row r="102" spans="1:25" x14ac:dyDescent="0.25">
      <c r="A102" s="3"/>
      <c r="B102" s="3"/>
      <c r="C102" s="9"/>
      <c r="D102" s="7"/>
      <c r="E102" s="5"/>
      <c r="F102" s="4"/>
      <c r="G102" s="9"/>
      <c r="I102" s="5"/>
      <c r="J102" s="4"/>
      <c r="K102" s="9"/>
      <c r="Y102" s="9"/>
    </row>
    <row r="103" spans="1:25" x14ac:dyDescent="0.25">
      <c r="A103" s="3"/>
      <c r="B103" s="3"/>
      <c r="C103" s="9"/>
      <c r="D103" s="7"/>
      <c r="E103" s="5"/>
      <c r="F103" s="4"/>
      <c r="G103" s="9"/>
      <c r="I103" s="5"/>
      <c r="J103" s="4"/>
      <c r="K103" s="9"/>
      <c r="Y103" s="9"/>
    </row>
    <row r="104" spans="1:25" x14ac:dyDescent="0.25">
      <c r="A104" s="3"/>
      <c r="B104" s="3"/>
      <c r="C104" s="9"/>
      <c r="D104" s="7"/>
      <c r="E104" s="5"/>
      <c r="F104" s="4"/>
      <c r="G104" s="9"/>
      <c r="I104" s="5"/>
      <c r="J104" s="4"/>
      <c r="K104" s="9"/>
      <c r="Y104" s="9"/>
    </row>
    <row r="105" spans="1:25" x14ac:dyDescent="0.25">
      <c r="A105" s="3"/>
      <c r="B105" s="3"/>
      <c r="C105" s="9"/>
      <c r="D105" s="7"/>
      <c r="E105" s="5"/>
      <c r="F105" s="4"/>
      <c r="G105" s="9"/>
      <c r="I105" s="5"/>
      <c r="J105" s="4"/>
      <c r="K105" s="9"/>
      <c r="Y105" s="9"/>
    </row>
    <row r="106" spans="1:25" x14ac:dyDescent="0.25">
      <c r="A106" s="3"/>
      <c r="B106" s="3"/>
      <c r="C106" s="9"/>
      <c r="D106" s="7"/>
      <c r="E106" s="5"/>
      <c r="F106" s="4"/>
      <c r="G106" s="9"/>
      <c r="I106" s="5"/>
      <c r="J106" s="4"/>
      <c r="K106" s="9"/>
      <c r="Y106" s="9"/>
    </row>
    <row r="107" spans="1:25" x14ac:dyDescent="0.25">
      <c r="A107" s="3"/>
      <c r="B107" s="3"/>
      <c r="C107" s="9"/>
      <c r="D107" s="7"/>
      <c r="E107" s="5"/>
      <c r="F107" s="4"/>
      <c r="G107" s="9"/>
      <c r="I107" s="5"/>
      <c r="J107" s="4"/>
      <c r="K107" s="9"/>
      <c r="Y107" s="9"/>
    </row>
    <row r="108" spans="1:25" x14ac:dyDescent="0.25">
      <c r="A108" s="3"/>
      <c r="B108" s="3"/>
      <c r="C108" s="9"/>
      <c r="D108" s="7"/>
      <c r="E108" s="5"/>
      <c r="F108" s="4"/>
      <c r="G108" s="9"/>
      <c r="I108" s="5"/>
      <c r="J108" s="4"/>
      <c r="K108" s="9"/>
      <c r="Y108" s="9"/>
    </row>
    <row r="109" spans="1:25" x14ac:dyDescent="0.25">
      <c r="A109" s="3"/>
      <c r="B109" s="3"/>
      <c r="C109" s="9"/>
      <c r="D109" s="7"/>
      <c r="E109" s="5"/>
      <c r="F109" s="4"/>
      <c r="G109" s="9"/>
      <c r="I109" s="5"/>
      <c r="J109" s="4"/>
      <c r="K109" s="9"/>
      <c r="Y109" s="9"/>
    </row>
    <row r="110" spans="1:25" x14ac:dyDescent="0.25">
      <c r="A110" s="3"/>
      <c r="B110" s="3"/>
      <c r="C110" s="9"/>
      <c r="D110" s="7"/>
      <c r="E110" s="5"/>
      <c r="F110" s="4"/>
      <c r="G110" s="9"/>
      <c r="I110" s="5"/>
      <c r="J110" s="4"/>
      <c r="K110" s="9"/>
      <c r="Y110" s="9"/>
    </row>
    <row r="111" spans="1:25" x14ac:dyDescent="0.25">
      <c r="A111" s="3"/>
      <c r="B111" s="3"/>
      <c r="C111" s="9"/>
      <c r="D111" s="7"/>
      <c r="E111" s="5"/>
      <c r="F111" s="4"/>
      <c r="G111" s="9"/>
      <c r="I111" s="5"/>
      <c r="J111" s="4"/>
      <c r="K111" s="9"/>
      <c r="Y111" s="9"/>
    </row>
    <row r="112" spans="1:25" x14ac:dyDescent="0.25">
      <c r="A112" s="3"/>
      <c r="B112" s="3"/>
      <c r="C112" s="9"/>
      <c r="D112" s="7"/>
      <c r="E112" s="5"/>
      <c r="F112" s="4"/>
      <c r="G112" s="9"/>
      <c r="I112" s="5"/>
      <c r="J112" s="4"/>
      <c r="K112" s="9"/>
      <c r="Y112" s="9"/>
    </row>
    <row r="113" spans="1:25" x14ac:dyDescent="0.25">
      <c r="A113" s="3"/>
      <c r="B113" s="3"/>
      <c r="C113" s="9"/>
      <c r="D113" s="7"/>
      <c r="E113" s="5"/>
      <c r="F113" s="4"/>
      <c r="G113" s="9"/>
      <c r="I113" s="5"/>
      <c r="J113" s="4"/>
      <c r="K113" s="9"/>
      <c r="Y113" s="9"/>
    </row>
    <row r="114" spans="1:25" x14ac:dyDescent="0.25">
      <c r="A114" s="3"/>
      <c r="B114" s="3"/>
      <c r="C114" s="9"/>
      <c r="D114" s="7"/>
      <c r="E114" s="5"/>
      <c r="F114" s="4"/>
      <c r="G114" s="9"/>
      <c r="I114" s="5"/>
      <c r="J114" s="4"/>
      <c r="K114" s="9"/>
      <c r="Y114" s="9"/>
    </row>
    <row r="115" spans="1:25" x14ac:dyDescent="0.25">
      <c r="A115" s="3"/>
      <c r="B115" s="3"/>
      <c r="C115" s="9"/>
      <c r="D115" s="7"/>
      <c r="E115" s="5"/>
      <c r="F115" s="4"/>
      <c r="G115" s="9"/>
      <c r="I115" s="5"/>
      <c r="J115" s="4"/>
      <c r="K115" s="9"/>
      <c r="Y115" s="9"/>
    </row>
    <row r="116" spans="1:25" x14ac:dyDescent="0.25">
      <c r="A116" s="3"/>
      <c r="B116" s="3"/>
      <c r="C116" s="9"/>
      <c r="D116" s="7"/>
      <c r="E116" s="5"/>
      <c r="F116" s="4"/>
      <c r="G116" s="9"/>
      <c r="I116" s="5"/>
      <c r="J116" s="4"/>
      <c r="K116" s="9"/>
      <c r="Y116" s="9"/>
    </row>
    <row r="117" spans="1:25" x14ac:dyDescent="0.25">
      <c r="A117" s="3"/>
      <c r="B117" s="3"/>
      <c r="C117" s="9"/>
      <c r="D117" s="7"/>
      <c r="E117" s="5"/>
      <c r="F117" s="4"/>
      <c r="G117" s="9"/>
      <c r="I117" s="5"/>
      <c r="J117" s="4"/>
      <c r="K117" s="9"/>
      <c r="Y117" s="9"/>
    </row>
    <row r="118" spans="1:25" x14ac:dyDescent="0.25">
      <c r="A118" s="3"/>
      <c r="B118" s="3"/>
      <c r="C118" s="9"/>
      <c r="D118" s="7"/>
      <c r="E118" s="5"/>
      <c r="F118" s="4"/>
      <c r="G118" s="9"/>
      <c r="I118" s="5"/>
      <c r="J118" s="4"/>
      <c r="K118" s="9"/>
      <c r="Y118" s="9"/>
    </row>
    <row r="119" spans="1:25" x14ac:dyDescent="0.25">
      <c r="A119" s="3"/>
      <c r="B119" s="3"/>
      <c r="C119" s="9"/>
      <c r="D119" s="7"/>
      <c r="E119" s="5"/>
      <c r="F119" s="4"/>
      <c r="G119" s="9"/>
      <c r="I119" s="5"/>
      <c r="J119" s="4"/>
      <c r="K119" s="9"/>
      <c r="Y119" s="9"/>
    </row>
    <row r="120" spans="1:25" x14ac:dyDescent="0.25">
      <c r="A120" s="3"/>
      <c r="B120" s="3"/>
      <c r="C120" s="9"/>
      <c r="D120" s="7"/>
      <c r="E120" s="5"/>
      <c r="F120" s="4"/>
      <c r="G120" s="9"/>
      <c r="I120" s="5"/>
      <c r="J120" s="4"/>
      <c r="K120" s="9"/>
      <c r="Y120" s="9"/>
    </row>
    <row r="121" spans="1:25" x14ac:dyDescent="0.25">
      <c r="A121" s="3"/>
      <c r="B121" s="3"/>
      <c r="C121" s="9"/>
      <c r="D121" s="7"/>
      <c r="E121" s="5"/>
      <c r="F121" s="4"/>
      <c r="G121" s="9"/>
      <c r="I121" s="5"/>
      <c r="J121" s="4"/>
      <c r="K121" s="9"/>
      <c r="Y121" s="9"/>
    </row>
    <row r="122" spans="1:25" x14ac:dyDescent="0.25">
      <c r="A122" s="3"/>
      <c r="B122" s="3"/>
      <c r="C122" s="9"/>
      <c r="D122" s="7"/>
      <c r="E122" s="5"/>
      <c r="F122" s="4"/>
      <c r="G122" s="9"/>
      <c r="I122" s="5"/>
      <c r="J122" s="4"/>
      <c r="K122" s="9"/>
      <c r="Y122" s="9"/>
    </row>
    <row r="123" spans="1:25" x14ac:dyDescent="0.25">
      <c r="A123" s="3"/>
      <c r="B123" s="3"/>
      <c r="C123" s="9"/>
      <c r="D123" s="7"/>
      <c r="E123" s="5"/>
      <c r="F123" s="4"/>
      <c r="G123" s="9"/>
      <c r="I123" s="5"/>
      <c r="J123" s="4"/>
      <c r="K123" s="9"/>
      <c r="Y123" s="9"/>
    </row>
    <row r="124" spans="1:25" x14ac:dyDescent="0.25">
      <c r="A124" s="3"/>
      <c r="B124" s="3"/>
      <c r="C124" s="9"/>
      <c r="D124" s="7"/>
      <c r="E124" s="5"/>
      <c r="F124" s="4"/>
      <c r="G124" s="9"/>
      <c r="I124" s="5"/>
      <c r="J124" s="4"/>
      <c r="K124" s="9"/>
      <c r="Y124" s="9"/>
    </row>
    <row r="125" spans="1:25" x14ac:dyDescent="0.25">
      <c r="A125" s="3"/>
      <c r="B125" s="3"/>
      <c r="C125" s="9"/>
      <c r="D125" s="7"/>
      <c r="E125" s="5"/>
      <c r="F125" s="4"/>
      <c r="G125" s="9"/>
      <c r="I125" s="5"/>
      <c r="J125" s="4"/>
      <c r="K125" s="9"/>
      <c r="Y125" s="9"/>
    </row>
    <row r="126" spans="1:25" x14ac:dyDescent="0.25">
      <c r="A126" s="3"/>
      <c r="B126" s="3"/>
      <c r="C126" s="9"/>
      <c r="D126" s="7"/>
      <c r="E126" s="5"/>
      <c r="F126" s="4"/>
      <c r="G126" s="9"/>
      <c r="I126" s="5"/>
      <c r="J126" s="4"/>
      <c r="K126" s="9"/>
      <c r="Y126" s="9"/>
    </row>
    <row r="127" spans="1:25" x14ac:dyDescent="0.25">
      <c r="A127" s="3"/>
      <c r="B127" s="3"/>
      <c r="C127" s="9"/>
      <c r="D127" s="7"/>
      <c r="E127" s="5"/>
      <c r="F127" s="4"/>
      <c r="G127" s="9"/>
      <c r="I127" s="5"/>
      <c r="J127" s="4"/>
      <c r="K127" s="9"/>
      <c r="Y127" s="9"/>
    </row>
    <row r="128" spans="1:25" x14ac:dyDescent="0.25">
      <c r="A128" s="3"/>
      <c r="B128" s="3"/>
      <c r="C128" s="9"/>
      <c r="D128" s="7"/>
      <c r="E128" s="5"/>
      <c r="F128" s="4"/>
      <c r="G128" s="9"/>
      <c r="I128" s="5"/>
      <c r="J128" s="4"/>
      <c r="K128" s="9"/>
      <c r="Y128" s="9"/>
    </row>
    <row r="129" spans="1:25" x14ac:dyDescent="0.25">
      <c r="A129" s="3"/>
      <c r="B129" s="3"/>
      <c r="C129" s="9"/>
      <c r="D129" s="7"/>
      <c r="E129" s="5"/>
      <c r="F129" s="4"/>
      <c r="G129" s="9"/>
      <c r="I129" s="5"/>
      <c r="J129" s="4"/>
      <c r="K129" s="9"/>
      <c r="Y129" s="9"/>
    </row>
    <row r="130" spans="1:25" x14ac:dyDescent="0.25">
      <c r="A130" s="3"/>
      <c r="B130" s="3"/>
      <c r="C130" s="9"/>
      <c r="D130" s="7"/>
      <c r="E130" s="5"/>
      <c r="F130" s="4"/>
      <c r="G130" s="9"/>
      <c r="I130" s="5"/>
      <c r="J130" s="4"/>
      <c r="K130" s="9"/>
      <c r="Y130" s="9"/>
    </row>
    <row r="131" spans="1:25" x14ac:dyDescent="0.25">
      <c r="A131" s="3"/>
      <c r="B131" s="3"/>
      <c r="C131" s="9"/>
      <c r="D131" s="7"/>
      <c r="E131" s="5"/>
      <c r="F131" s="4"/>
      <c r="G131" s="9"/>
      <c r="I131" s="5"/>
      <c r="J131" s="4"/>
      <c r="K131" s="9"/>
      <c r="Y131" s="9"/>
    </row>
    <row r="132" spans="1:25" x14ac:dyDescent="0.25">
      <c r="A132" s="3"/>
      <c r="B132" s="3"/>
      <c r="C132" s="9"/>
      <c r="D132" s="7"/>
      <c r="E132" s="5"/>
      <c r="F132" s="4"/>
      <c r="G132" s="9"/>
      <c r="I132" s="5"/>
      <c r="J132" s="4"/>
      <c r="K132" s="9"/>
      <c r="Y132" s="9"/>
    </row>
    <row r="133" spans="1:25" x14ac:dyDescent="0.25">
      <c r="A133" s="3"/>
      <c r="B133" s="3"/>
      <c r="C133" s="9"/>
      <c r="D133" s="7"/>
      <c r="E133" s="5"/>
      <c r="F133" s="4"/>
      <c r="G133" s="9"/>
      <c r="I133" s="5"/>
      <c r="J133" s="4"/>
      <c r="K133" s="9"/>
      <c r="Y133" s="9"/>
    </row>
    <row r="134" spans="1:25" x14ac:dyDescent="0.25">
      <c r="A134" s="3"/>
      <c r="B134" s="3"/>
      <c r="C134" s="9"/>
      <c r="D134" s="7"/>
      <c r="E134" s="5"/>
      <c r="F134" s="4"/>
      <c r="G134" s="9"/>
      <c r="I134" s="5"/>
      <c r="J134" s="4"/>
      <c r="K134" s="9"/>
      <c r="Y134" s="9"/>
    </row>
    <row r="135" spans="1:25" x14ac:dyDescent="0.25">
      <c r="A135" s="3"/>
      <c r="B135" s="3"/>
      <c r="C135" s="9"/>
      <c r="D135" s="7"/>
      <c r="E135" s="5"/>
      <c r="F135" s="4"/>
      <c r="G135" s="9"/>
      <c r="I135" s="5"/>
      <c r="J135" s="4"/>
      <c r="K135" s="9"/>
      <c r="Y135" s="9"/>
    </row>
    <row r="136" spans="1:25" x14ac:dyDescent="0.25">
      <c r="A136" s="3"/>
      <c r="B136" s="3"/>
      <c r="C136" s="9"/>
      <c r="D136" s="7"/>
      <c r="E136" s="5"/>
      <c r="F136" s="4"/>
      <c r="G136" s="9"/>
      <c r="I136" s="5"/>
      <c r="J136" s="4"/>
      <c r="K136" s="9"/>
      <c r="Y136" s="9"/>
    </row>
    <row r="137" spans="1:25" x14ac:dyDescent="0.25">
      <c r="A137" s="3"/>
      <c r="B137" s="3"/>
      <c r="C137" s="9"/>
      <c r="D137" s="7"/>
      <c r="E137" s="5"/>
      <c r="F137" s="4"/>
      <c r="G137" s="9"/>
      <c r="I137" s="5"/>
      <c r="J137" s="4"/>
      <c r="K137" s="9"/>
      <c r="Y137" s="9"/>
    </row>
    <row r="138" spans="1:25" x14ac:dyDescent="0.25">
      <c r="A138" s="3"/>
      <c r="B138" s="3"/>
      <c r="C138" s="9"/>
      <c r="D138" s="7"/>
      <c r="E138" s="5"/>
      <c r="F138" s="4"/>
      <c r="G138" s="9"/>
      <c r="I138" s="5"/>
      <c r="J138" s="4"/>
      <c r="K138" s="9"/>
      <c r="Y138" s="9"/>
    </row>
    <row r="139" spans="1:25" x14ac:dyDescent="0.25">
      <c r="A139" s="3"/>
      <c r="B139" s="3"/>
      <c r="C139" s="9"/>
      <c r="D139" s="7"/>
      <c r="E139" s="5"/>
      <c r="F139" s="4"/>
      <c r="G139" s="9"/>
      <c r="I139" s="5"/>
      <c r="J139" s="4"/>
      <c r="K139" s="9"/>
      <c r="Y139" s="9"/>
    </row>
    <row r="140" spans="1:25" x14ac:dyDescent="0.25">
      <c r="A140" s="3"/>
      <c r="B140" s="3"/>
      <c r="C140" s="9"/>
      <c r="D140" s="7"/>
      <c r="E140" s="5"/>
      <c r="F140" s="4"/>
      <c r="G140" s="9"/>
      <c r="I140" s="5"/>
      <c r="J140" s="4"/>
      <c r="K140" s="9"/>
      <c r="Y140" s="9"/>
    </row>
    <row r="141" spans="1:25" x14ac:dyDescent="0.25">
      <c r="A141" s="3"/>
      <c r="B141" s="3"/>
      <c r="C141" s="9"/>
      <c r="D141" s="7"/>
      <c r="E141" s="5"/>
      <c r="F141" s="4"/>
      <c r="G141" s="9"/>
      <c r="I141" s="5"/>
      <c r="J141" s="4"/>
      <c r="K141" s="9"/>
      <c r="Y141" s="9"/>
    </row>
    <row r="142" spans="1:25" x14ac:dyDescent="0.25">
      <c r="A142" s="3"/>
      <c r="B142" s="3"/>
      <c r="C142" s="9"/>
      <c r="D142" s="7"/>
      <c r="E142" s="5"/>
      <c r="F142" s="4"/>
      <c r="G142" s="9"/>
      <c r="I142" s="5"/>
      <c r="J142" s="4"/>
      <c r="K142" s="9"/>
      <c r="Y142" s="9"/>
    </row>
    <row r="143" spans="1:25" x14ac:dyDescent="0.25">
      <c r="A143" s="3"/>
      <c r="B143" s="3"/>
      <c r="C143" s="9"/>
      <c r="D143" s="7"/>
      <c r="E143" s="5"/>
      <c r="F143" s="4"/>
      <c r="G143" s="9"/>
      <c r="I143" s="5"/>
      <c r="J143" s="4"/>
      <c r="K143" s="9"/>
      <c r="Y143" s="9"/>
    </row>
    <row r="144" spans="1:25" x14ac:dyDescent="0.25">
      <c r="A144" s="3"/>
      <c r="B144" s="3"/>
      <c r="C144" s="9"/>
      <c r="D144" s="7"/>
      <c r="E144" s="5"/>
      <c r="F144" s="4"/>
      <c r="G144" s="9"/>
      <c r="I144" s="5"/>
      <c r="J144" s="4"/>
      <c r="K144" s="9"/>
      <c r="Y144" s="9"/>
    </row>
    <row r="145" spans="1:25" x14ac:dyDescent="0.25">
      <c r="A145" s="3"/>
      <c r="B145" s="3"/>
      <c r="C145" s="9"/>
      <c r="D145" s="7"/>
      <c r="E145" s="5"/>
      <c r="F145" s="4"/>
      <c r="G145" s="9"/>
      <c r="I145" s="5"/>
      <c r="J145" s="4"/>
      <c r="K145" s="9"/>
      <c r="Y145" s="9"/>
    </row>
    <row r="146" spans="1:25" x14ac:dyDescent="0.25">
      <c r="A146" s="3"/>
      <c r="B146" s="3"/>
      <c r="C146" s="9"/>
      <c r="D146" s="7"/>
      <c r="E146" s="5"/>
      <c r="F146" s="4"/>
      <c r="G146" s="9"/>
      <c r="I146" s="5"/>
      <c r="J146" s="4"/>
      <c r="K146" s="9"/>
      <c r="Y146" s="9"/>
    </row>
    <row r="147" spans="1:25" x14ac:dyDescent="0.25">
      <c r="A147" s="3"/>
      <c r="B147" s="3"/>
      <c r="C147" s="9"/>
      <c r="D147" s="7"/>
      <c r="E147" s="5"/>
      <c r="F147" s="4"/>
      <c r="G147" s="9"/>
      <c r="I147" s="5"/>
      <c r="J147" s="4"/>
      <c r="K147" s="9"/>
      <c r="Y147" s="9"/>
    </row>
    <row r="148" spans="1:25" x14ac:dyDescent="0.25">
      <c r="A148" s="3"/>
      <c r="B148" s="3"/>
      <c r="C148" s="9"/>
      <c r="D148" s="7"/>
      <c r="E148" s="5"/>
      <c r="F148" s="4"/>
      <c r="G148" s="9"/>
      <c r="I148" s="5"/>
      <c r="J148" s="4"/>
      <c r="K148" s="9"/>
      <c r="Y148" s="9"/>
    </row>
    <row r="149" spans="1:25" x14ac:dyDescent="0.25">
      <c r="A149" s="3"/>
      <c r="B149" s="3"/>
      <c r="C149" s="9"/>
      <c r="D149" s="7"/>
      <c r="E149" s="5"/>
      <c r="F149" s="4"/>
      <c r="G149" s="9"/>
      <c r="I149" s="5"/>
      <c r="J149" s="4"/>
      <c r="K149" s="9"/>
      <c r="Y149" s="9"/>
    </row>
    <row r="150" spans="1:25" x14ac:dyDescent="0.25">
      <c r="A150" s="3"/>
      <c r="B150" s="3"/>
      <c r="C150" s="9"/>
      <c r="D150" s="7"/>
      <c r="E150" s="5"/>
      <c r="F150" s="4"/>
      <c r="G150" s="9"/>
      <c r="I150" s="5"/>
      <c r="J150" s="4"/>
      <c r="K150" s="9"/>
      <c r="Y150" s="9"/>
    </row>
    <row r="151" spans="1:25" x14ac:dyDescent="0.25">
      <c r="A151" s="3"/>
      <c r="B151" s="3"/>
      <c r="C151" s="9"/>
      <c r="D151" s="7"/>
      <c r="E151" s="5"/>
      <c r="F151" s="4"/>
      <c r="G151" s="9"/>
      <c r="I151" s="5"/>
      <c r="J151" s="4"/>
      <c r="K151" s="9"/>
      <c r="Y151" s="9"/>
    </row>
    <row r="152" spans="1:25" x14ac:dyDescent="0.25">
      <c r="A152" s="3"/>
      <c r="B152" s="3"/>
      <c r="C152" s="9"/>
      <c r="D152" s="7"/>
      <c r="E152" s="5"/>
      <c r="F152" s="4"/>
      <c r="G152" s="9"/>
      <c r="I152" s="5"/>
      <c r="J152" s="4"/>
      <c r="K152" s="9"/>
      <c r="Y152" s="9"/>
    </row>
    <row r="153" spans="1:25" x14ac:dyDescent="0.25">
      <c r="A153" s="3"/>
      <c r="B153" s="3"/>
      <c r="C153" s="9"/>
      <c r="D153" s="7"/>
      <c r="E153" s="5"/>
      <c r="F153" s="4"/>
      <c r="G153" s="9"/>
      <c r="I153" s="5"/>
      <c r="J153" s="4"/>
      <c r="K153" s="9"/>
      <c r="Y153" s="9"/>
    </row>
    <row r="154" spans="1:25" x14ac:dyDescent="0.25">
      <c r="A154" s="3"/>
      <c r="B154" s="3"/>
      <c r="C154" s="9"/>
      <c r="D154" s="7"/>
      <c r="E154" s="5"/>
      <c r="F154" s="4"/>
      <c r="G154" s="9"/>
      <c r="I154" s="5"/>
      <c r="J154" s="4"/>
      <c r="K154" s="9"/>
      <c r="Y154" s="9"/>
    </row>
    <row r="155" spans="1:25" x14ac:dyDescent="0.25">
      <c r="A155" s="3"/>
      <c r="B155" s="3"/>
      <c r="C155" s="9"/>
      <c r="D155" s="7"/>
      <c r="E155" s="5"/>
      <c r="F155" s="4"/>
      <c r="G155" s="9"/>
      <c r="I155" s="5"/>
      <c r="J155" s="4"/>
      <c r="K155" s="9"/>
      <c r="Y155" s="9"/>
    </row>
    <row r="156" spans="1:25" x14ac:dyDescent="0.25">
      <c r="A156" s="3"/>
      <c r="B156" s="3"/>
      <c r="C156" s="9"/>
      <c r="D156" s="7"/>
      <c r="E156" s="5"/>
      <c r="F156" s="4"/>
      <c r="G156" s="9"/>
      <c r="I156" s="5"/>
      <c r="J156" s="4"/>
      <c r="K156" s="9"/>
      <c r="Y156" s="9"/>
    </row>
    <row r="157" spans="1:25" x14ac:dyDescent="0.25">
      <c r="A157" s="3"/>
      <c r="B157" s="3"/>
      <c r="C157" s="9"/>
      <c r="D157" s="7"/>
      <c r="E157" s="5"/>
      <c r="F157" s="4"/>
      <c r="G157" s="9"/>
      <c r="I157" s="5"/>
      <c r="J157" s="4"/>
      <c r="K157" s="9"/>
      <c r="Y157" s="9"/>
    </row>
    <row r="158" spans="1:25" x14ac:dyDescent="0.25">
      <c r="A158" s="3"/>
      <c r="B158" s="3"/>
      <c r="C158" s="9"/>
      <c r="D158" s="7"/>
      <c r="E158" s="5"/>
      <c r="F158" s="4"/>
      <c r="G158" s="9"/>
      <c r="I158" s="5"/>
      <c r="J158" s="4"/>
      <c r="K158" s="9"/>
      <c r="Y158" s="9"/>
    </row>
    <row r="159" spans="1:25" x14ac:dyDescent="0.25">
      <c r="A159" s="3"/>
      <c r="B159" s="3"/>
      <c r="C159" s="9"/>
      <c r="D159" s="7"/>
      <c r="E159" s="5"/>
      <c r="F159" s="4"/>
      <c r="G159" s="9"/>
      <c r="I159" s="5"/>
      <c r="J159" s="4"/>
      <c r="K159" s="9"/>
      <c r="Y159" s="9"/>
    </row>
    <row r="160" spans="1:25" x14ac:dyDescent="0.25">
      <c r="A160" s="3"/>
      <c r="B160" s="3"/>
      <c r="C160" s="9"/>
      <c r="D160" s="7"/>
      <c r="E160" s="5"/>
      <c r="F160" s="4"/>
      <c r="G160" s="9"/>
      <c r="I160" s="5"/>
      <c r="J160" s="4"/>
      <c r="K160" s="9"/>
      <c r="Y160" s="9"/>
    </row>
    <row r="161" spans="1:25" x14ac:dyDescent="0.25">
      <c r="A161" s="3"/>
      <c r="B161" s="3"/>
      <c r="C161" s="9"/>
      <c r="D161" s="7"/>
      <c r="E161" s="5"/>
      <c r="F161" s="4"/>
      <c r="G161" s="9"/>
      <c r="I161" s="5"/>
      <c r="J161" s="4"/>
      <c r="K161" s="9"/>
      <c r="Y161" s="9"/>
    </row>
    <row r="162" spans="1:25" x14ac:dyDescent="0.25">
      <c r="A162" s="3"/>
      <c r="B162" s="3"/>
      <c r="C162" s="9"/>
      <c r="D162" s="7"/>
      <c r="E162" s="5"/>
      <c r="F162" s="4"/>
      <c r="G162" s="9"/>
      <c r="I162" s="5"/>
      <c r="J162" s="4"/>
      <c r="K162" s="9"/>
      <c r="Y162" s="9"/>
    </row>
    <row r="163" spans="1:25" x14ac:dyDescent="0.25">
      <c r="A163" s="3"/>
      <c r="B163" s="3"/>
      <c r="C163" s="9"/>
      <c r="D163" s="7"/>
      <c r="E163" s="5"/>
      <c r="F163" s="4"/>
      <c r="G163" s="9"/>
      <c r="I163" s="5"/>
      <c r="J163" s="4"/>
      <c r="K163" s="9"/>
      <c r="Y163" s="9"/>
    </row>
    <row r="164" spans="1:25" x14ac:dyDescent="0.25">
      <c r="A164" s="3"/>
      <c r="B164" s="3"/>
      <c r="C164" s="9"/>
      <c r="D164" s="7"/>
      <c r="E164" s="5"/>
      <c r="F164" s="4"/>
      <c r="G164" s="9"/>
      <c r="I164" s="5"/>
      <c r="J164" s="4"/>
      <c r="K164" s="9"/>
      <c r="Y164" s="9"/>
    </row>
    <row r="165" spans="1:25" x14ac:dyDescent="0.25">
      <c r="A165" s="3"/>
      <c r="B165" s="3"/>
      <c r="C165" s="9"/>
      <c r="D165" s="7"/>
      <c r="E165" s="5"/>
      <c r="F165" s="4"/>
      <c r="G165" s="9"/>
      <c r="I165" s="5"/>
      <c r="J165" s="4"/>
      <c r="K165" s="9"/>
      <c r="Y165" s="9"/>
    </row>
    <row r="166" spans="1:25" x14ac:dyDescent="0.25">
      <c r="A166" s="3"/>
      <c r="B166" s="3"/>
      <c r="C166" s="9"/>
      <c r="D166" s="7"/>
      <c r="E166" s="5"/>
      <c r="F166" s="4"/>
      <c r="G166" s="9"/>
      <c r="I166" s="5"/>
      <c r="J166" s="4"/>
      <c r="K166" s="9"/>
      <c r="Y166" s="9"/>
    </row>
    <row r="167" spans="1:25" x14ac:dyDescent="0.25">
      <c r="A167" s="3"/>
      <c r="B167" s="3"/>
      <c r="C167" s="9"/>
      <c r="D167" s="7"/>
      <c r="E167" s="5"/>
      <c r="F167" s="4"/>
      <c r="G167" s="9"/>
      <c r="I167" s="5"/>
      <c r="J167" s="4"/>
      <c r="K167" s="9"/>
      <c r="Y167" s="9"/>
    </row>
    <row r="168" spans="1:25" x14ac:dyDescent="0.25">
      <c r="A168" s="3"/>
      <c r="B168" s="3"/>
      <c r="C168" s="9"/>
      <c r="D168" s="7"/>
      <c r="E168" s="5"/>
      <c r="F168" s="4"/>
      <c r="G168" s="9"/>
      <c r="I168" s="5"/>
      <c r="J168" s="4"/>
      <c r="K168" s="9"/>
      <c r="Y168" s="9"/>
    </row>
    <row r="169" spans="1:25" x14ac:dyDescent="0.25">
      <c r="A169" s="3"/>
      <c r="B169" s="3"/>
      <c r="C169" s="9"/>
      <c r="D169" s="7"/>
      <c r="E169" s="5"/>
      <c r="F169" s="4"/>
      <c r="G169" s="9"/>
      <c r="I169" s="5"/>
      <c r="J169" s="4"/>
      <c r="K169" s="9"/>
      <c r="Y169" s="9"/>
    </row>
    <row r="170" spans="1:25" x14ac:dyDescent="0.25">
      <c r="A170" s="3"/>
      <c r="B170" s="3"/>
      <c r="C170" s="9"/>
      <c r="D170" s="7"/>
      <c r="E170" s="5"/>
      <c r="F170" s="4"/>
      <c r="G170" s="9"/>
      <c r="I170" s="5"/>
      <c r="J170" s="4"/>
      <c r="K170" s="9"/>
      <c r="Y170" s="9"/>
    </row>
    <row r="171" spans="1:25" x14ac:dyDescent="0.25">
      <c r="A171" s="3"/>
      <c r="B171" s="3"/>
      <c r="C171" s="9"/>
      <c r="D171" s="7"/>
      <c r="E171" s="5"/>
      <c r="F171" s="4"/>
      <c r="G171" s="9"/>
      <c r="I171" s="5"/>
      <c r="J171" s="4"/>
      <c r="K171" s="9"/>
      <c r="Y171" s="9"/>
    </row>
    <row r="172" spans="1:25" x14ac:dyDescent="0.25">
      <c r="A172" s="3"/>
      <c r="B172" s="3"/>
      <c r="C172" s="9"/>
      <c r="D172" s="7"/>
      <c r="E172" s="5"/>
      <c r="F172" s="4"/>
      <c r="G172" s="9"/>
      <c r="I172" s="5"/>
      <c r="J172" s="4"/>
      <c r="K172" s="9"/>
      <c r="Y172" s="9"/>
    </row>
    <row r="173" spans="1:25" x14ac:dyDescent="0.25">
      <c r="A173" s="3"/>
      <c r="B173" s="3"/>
      <c r="C173" s="9"/>
      <c r="D173" s="7"/>
      <c r="E173" s="5"/>
      <c r="F173" s="4"/>
      <c r="G173" s="9"/>
      <c r="I173" s="5"/>
      <c r="J173" s="4"/>
      <c r="K173" s="9"/>
      <c r="Y173" s="9"/>
    </row>
    <row r="174" spans="1:25" x14ac:dyDescent="0.25">
      <c r="A174" s="3"/>
      <c r="B174" s="3"/>
      <c r="C174" s="9"/>
      <c r="D174" s="7"/>
      <c r="E174" s="5"/>
      <c r="F174" s="4"/>
      <c r="G174" s="9"/>
      <c r="I174" s="5"/>
      <c r="J174" s="4"/>
      <c r="K174" s="9"/>
      <c r="Y174" s="9"/>
    </row>
    <row r="175" spans="1:25" x14ac:dyDescent="0.25">
      <c r="A175" s="3"/>
      <c r="B175" s="3"/>
      <c r="C175" s="9"/>
      <c r="D175" s="7"/>
      <c r="E175" s="5"/>
      <c r="F175" s="4"/>
      <c r="G175" s="9"/>
      <c r="I175" s="5"/>
      <c r="J175" s="4"/>
      <c r="K175" s="9"/>
      <c r="Y175" s="9"/>
    </row>
    <row r="176" spans="1:25" x14ac:dyDescent="0.25">
      <c r="A176" s="3"/>
      <c r="B176" s="3"/>
      <c r="C176" s="9"/>
      <c r="D176" s="7"/>
      <c r="E176" s="5"/>
      <c r="F176" s="4"/>
      <c r="G176" s="9"/>
      <c r="I176" s="5"/>
      <c r="J176" s="4"/>
      <c r="K176" s="9"/>
      <c r="Y176" s="9"/>
    </row>
    <row r="177" spans="1:25" x14ac:dyDescent="0.25">
      <c r="A177" s="3"/>
      <c r="B177" s="3"/>
      <c r="C177" s="9"/>
      <c r="D177" s="7"/>
      <c r="E177" s="5"/>
      <c r="F177" s="4"/>
      <c r="G177" s="9"/>
      <c r="I177" s="5"/>
      <c r="J177" s="4"/>
      <c r="K177" s="9"/>
      <c r="Y177" s="9"/>
    </row>
    <row r="178" spans="1:25" x14ac:dyDescent="0.25">
      <c r="A178" s="3"/>
      <c r="B178" s="3"/>
      <c r="C178" s="9"/>
      <c r="D178" s="7"/>
      <c r="E178" s="5"/>
      <c r="F178" s="4"/>
      <c r="G178" s="9"/>
      <c r="I178" s="5"/>
      <c r="J178" s="4"/>
      <c r="K178" s="9"/>
      <c r="Y178" s="9"/>
    </row>
    <row r="179" spans="1:25" x14ac:dyDescent="0.25">
      <c r="A179" s="3"/>
      <c r="B179" s="3"/>
      <c r="C179" s="9"/>
      <c r="D179" s="7"/>
      <c r="E179" s="5"/>
      <c r="F179" s="4"/>
      <c r="G179" s="9"/>
      <c r="I179" s="5"/>
      <c r="J179" s="4"/>
      <c r="K179" s="9"/>
      <c r="Y179" s="9"/>
    </row>
    <row r="180" spans="1:25" x14ac:dyDescent="0.25">
      <c r="A180" s="3"/>
      <c r="B180" s="3"/>
      <c r="C180" s="9"/>
      <c r="D180" s="7"/>
      <c r="E180" s="5"/>
      <c r="F180" s="4"/>
      <c r="G180" s="9"/>
      <c r="I180" s="5"/>
      <c r="J180" s="4"/>
      <c r="K180" s="9"/>
      <c r="Y180" s="9"/>
    </row>
    <row r="181" spans="1:25" x14ac:dyDescent="0.25">
      <c r="A181" s="3"/>
      <c r="B181" s="3"/>
      <c r="C181" s="9"/>
      <c r="D181" s="7"/>
      <c r="E181" s="5"/>
      <c r="F181" s="4"/>
      <c r="G181" s="9"/>
      <c r="I181" s="5"/>
      <c r="J181" s="4"/>
      <c r="K181" s="9"/>
      <c r="Y181" s="9"/>
    </row>
    <row r="182" spans="1:25" x14ac:dyDescent="0.25">
      <c r="A182" s="3"/>
      <c r="B182" s="3"/>
      <c r="C182" s="9"/>
      <c r="D182" s="7"/>
      <c r="E182" s="5"/>
      <c r="F182" s="4"/>
      <c r="G182" s="9"/>
      <c r="I182" s="5"/>
      <c r="J182" s="4"/>
      <c r="K182" s="9"/>
      <c r="Y182" s="9"/>
    </row>
    <row r="183" spans="1:25" x14ac:dyDescent="0.25">
      <c r="A183" s="3"/>
      <c r="B183" s="3"/>
      <c r="C183" s="9"/>
      <c r="D183" s="7"/>
      <c r="E183" s="5"/>
      <c r="F183" s="4"/>
      <c r="G183" s="9"/>
      <c r="I183" s="5"/>
      <c r="J183" s="4"/>
      <c r="K183" s="9"/>
      <c r="Y183" s="9"/>
    </row>
    <row r="184" spans="1:25" x14ac:dyDescent="0.25">
      <c r="A184" s="3"/>
      <c r="B184" s="3"/>
      <c r="C184" s="9"/>
      <c r="D184" s="7"/>
      <c r="E184" s="5"/>
      <c r="F184" s="4"/>
      <c r="G184" s="9"/>
      <c r="I184" s="5"/>
      <c r="J184" s="4"/>
      <c r="K184" s="9"/>
      <c r="Y184" s="9"/>
    </row>
    <row r="185" spans="1:25" x14ac:dyDescent="0.25">
      <c r="A185" s="3"/>
      <c r="B185" s="3"/>
      <c r="C185" s="9"/>
      <c r="D185" s="7"/>
      <c r="E185" s="5"/>
      <c r="F185" s="4"/>
      <c r="G185" s="9"/>
      <c r="I185" s="5"/>
      <c r="J185" s="4"/>
      <c r="K185" s="9"/>
      <c r="Y185" s="9"/>
    </row>
    <row r="186" spans="1:25" x14ac:dyDescent="0.25">
      <c r="A186" s="3"/>
      <c r="B186" s="3"/>
      <c r="C186" s="9"/>
      <c r="D186" s="7"/>
      <c r="E186" s="5"/>
      <c r="F186" s="4"/>
      <c r="G186" s="9"/>
      <c r="I186" s="5"/>
      <c r="J186" s="4"/>
      <c r="K186" s="9"/>
      <c r="Y186" s="9"/>
    </row>
    <row r="187" spans="1:25" x14ac:dyDescent="0.25">
      <c r="A187" s="3"/>
      <c r="B187" s="3"/>
      <c r="C187" s="9"/>
      <c r="D187" s="7"/>
      <c r="E187" s="5"/>
      <c r="F187" s="4"/>
      <c r="G187" s="9"/>
      <c r="I187" s="5"/>
      <c r="J187" s="4"/>
      <c r="K187" s="9"/>
      <c r="Y187" s="9"/>
    </row>
    <row r="188" spans="1:25" x14ac:dyDescent="0.25">
      <c r="A188" s="3"/>
      <c r="B188" s="3"/>
      <c r="C188" s="9"/>
      <c r="D188" s="7"/>
      <c r="E188" s="5"/>
      <c r="F188" s="4"/>
      <c r="G188" s="9"/>
      <c r="I188" s="5"/>
      <c r="J188" s="4"/>
      <c r="K188" s="9"/>
      <c r="Y188" s="9"/>
    </row>
    <row r="189" spans="1:25" x14ac:dyDescent="0.25">
      <c r="A189" s="3"/>
      <c r="B189" s="3"/>
      <c r="C189" s="9"/>
      <c r="D189" s="7"/>
      <c r="E189" s="5"/>
      <c r="F189" s="4"/>
      <c r="G189" s="9"/>
      <c r="I189" s="5"/>
      <c r="J189" s="4"/>
      <c r="K189" s="9"/>
      <c r="Y189" s="9"/>
    </row>
    <row r="190" spans="1:25" x14ac:dyDescent="0.25">
      <c r="A190" s="3"/>
      <c r="B190" s="3"/>
      <c r="C190" s="9"/>
      <c r="D190" s="7"/>
      <c r="E190" s="5"/>
      <c r="F190" s="4"/>
      <c r="G190" s="9"/>
      <c r="I190" s="5"/>
      <c r="J190" s="4"/>
      <c r="K190" s="9"/>
      <c r="Y190" s="9"/>
    </row>
    <row r="191" spans="1:25" x14ac:dyDescent="0.25">
      <c r="A191" s="3"/>
      <c r="B191" s="3"/>
      <c r="C191" s="9"/>
      <c r="D191" s="7"/>
      <c r="E191" s="5"/>
      <c r="F191" s="4"/>
      <c r="G191" s="9"/>
      <c r="I191" s="5"/>
      <c r="J191" s="4"/>
      <c r="K191" s="9"/>
      <c r="Y191" s="9"/>
    </row>
    <row r="192" spans="1:25" x14ac:dyDescent="0.25">
      <c r="A192" s="3"/>
      <c r="B192" s="3"/>
      <c r="C192" s="9"/>
      <c r="D192" s="7"/>
      <c r="E192" s="5"/>
      <c r="F192" s="4"/>
      <c r="G192" s="9"/>
      <c r="I192" s="5"/>
      <c r="J192" s="4"/>
      <c r="K192" s="9"/>
      <c r="Y192" s="9"/>
    </row>
    <row r="193" spans="1:25" x14ac:dyDescent="0.25">
      <c r="A193" s="3"/>
      <c r="B193" s="3"/>
      <c r="C193" s="9"/>
      <c r="D193" s="7"/>
      <c r="E193" s="5"/>
      <c r="F193" s="4"/>
      <c r="G193" s="9"/>
      <c r="I193" s="5"/>
      <c r="J193" s="4"/>
      <c r="K193" s="9"/>
      <c r="Y193" s="9"/>
    </row>
    <row r="194" spans="1:25" x14ac:dyDescent="0.25">
      <c r="A194" s="3"/>
      <c r="B194" s="3"/>
      <c r="C194" s="9"/>
      <c r="D194" s="7"/>
      <c r="E194" s="5"/>
      <c r="F194" s="4"/>
      <c r="G194" s="9"/>
      <c r="I194" s="5"/>
      <c r="J194" s="4"/>
      <c r="K194" s="9"/>
      <c r="Y194" s="9"/>
    </row>
    <row r="195" spans="1:25" x14ac:dyDescent="0.25">
      <c r="A195" s="3"/>
      <c r="B195" s="3"/>
      <c r="C195" s="9"/>
      <c r="D195" s="7"/>
      <c r="E195" s="5"/>
      <c r="F195" s="4"/>
      <c r="G195" s="9"/>
      <c r="I195" s="5"/>
      <c r="J195" s="4"/>
      <c r="K195" s="9"/>
      <c r="Y195" s="9"/>
    </row>
    <row r="196" spans="1:25" x14ac:dyDescent="0.25">
      <c r="A196" s="3"/>
      <c r="B196" s="3"/>
      <c r="C196" s="9"/>
      <c r="D196" s="7"/>
      <c r="E196" s="5"/>
      <c r="F196" s="4"/>
      <c r="G196" s="9"/>
      <c r="I196" s="5"/>
      <c r="J196" s="4"/>
      <c r="K196" s="9"/>
      <c r="Y196" s="9"/>
    </row>
    <row r="197" spans="1:25" x14ac:dyDescent="0.25">
      <c r="A197" s="3"/>
      <c r="B197" s="3"/>
      <c r="C197" s="9"/>
      <c r="D197" s="7"/>
      <c r="E197" s="5"/>
      <c r="F197" s="4"/>
      <c r="G197" s="9"/>
      <c r="I197" s="5"/>
      <c r="J197" s="4"/>
      <c r="K197" s="9"/>
      <c r="Y197" s="9"/>
    </row>
    <row r="198" spans="1:25" x14ac:dyDescent="0.25">
      <c r="A198" s="3"/>
      <c r="B198" s="3"/>
      <c r="C198" s="9"/>
      <c r="D198" s="7"/>
      <c r="E198" s="5"/>
      <c r="F198" s="4"/>
      <c r="G198" s="9"/>
      <c r="I198" s="5"/>
      <c r="J198" s="4"/>
      <c r="K198" s="9"/>
      <c r="Y198" s="9"/>
    </row>
    <row r="199" spans="1:25" x14ac:dyDescent="0.25">
      <c r="A199" s="3"/>
      <c r="B199" s="3"/>
      <c r="C199" s="9"/>
      <c r="D199" s="7"/>
      <c r="E199" s="5"/>
      <c r="F199" s="4"/>
      <c r="G199" s="9"/>
      <c r="I199" s="5"/>
      <c r="J199" s="4"/>
      <c r="K199" s="9"/>
      <c r="Y199" s="9"/>
    </row>
    <row r="200" spans="1:25" x14ac:dyDescent="0.25">
      <c r="A200" s="3"/>
      <c r="B200" s="3"/>
      <c r="C200" s="9"/>
      <c r="D200" s="7"/>
      <c r="E200" s="5"/>
      <c r="F200" s="4"/>
      <c r="G200" s="9"/>
      <c r="I200" s="5"/>
      <c r="J200" s="4"/>
      <c r="K200" s="9"/>
      <c r="Y200" s="9"/>
    </row>
    <row r="201" spans="1:25" x14ac:dyDescent="0.25">
      <c r="A201" s="3"/>
      <c r="B201" s="3"/>
      <c r="C201" s="9"/>
      <c r="D201" s="7"/>
      <c r="E201" s="5"/>
      <c r="F201" s="4"/>
      <c r="G201" s="9"/>
      <c r="I201" s="5"/>
      <c r="J201" s="4"/>
      <c r="K201" s="9"/>
      <c r="Y201" s="9"/>
    </row>
    <row r="202" spans="1:25" x14ac:dyDescent="0.25">
      <c r="A202" s="3"/>
      <c r="B202" s="3"/>
      <c r="C202" s="9"/>
      <c r="D202" s="7"/>
      <c r="E202" s="5"/>
      <c r="F202" s="4"/>
      <c r="G202" s="9"/>
      <c r="I202" s="5"/>
      <c r="J202" s="4"/>
      <c r="K202" s="9"/>
      <c r="Y202" s="9"/>
    </row>
    <row r="203" spans="1:25" x14ac:dyDescent="0.25">
      <c r="A203" s="3"/>
      <c r="B203" s="3"/>
      <c r="C203" s="9"/>
      <c r="D203" s="7"/>
      <c r="E203" s="5"/>
      <c r="F203" s="4"/>
      <c r="G203" s="9"/>
      <c r="I203" s="5"/>
      <c r="J203" s="4"/>
      <c r="K203" s="9"/>
      <c r="Y203" s="9"/>
    </row>
    <row r="204" spans="1:25" x14ac:dyDescent="0.25">
      <c r="A204" s="3"/>
      <c r="B204" s="3"/>
      <c r="C204" s="9"/>
      <c r="D204" s="7"/>
      <c r="E204" s="5"/>
      <c r="F204" s="4"/>
      <c r="G204" s="9"/>
      <c r="I204" s="5"/>
      <c r="J204" s="4"/>
      <c r="K204" s="9"/>
      <c r="Y204" s="9"/>
    </row>
    <row r="205" spans="1:25" x14ac:dyDescent="0.25">
      <c r="A205" s="3"/>
      <c r="B205" s="3"/>
      <c r="C205" s="9"/>
      <c r="D205" s="7"/>
      <c r="E205" s="5"/>
      <c r="F205" s="4"/>
      <c r="G205" s="9"/>
      <c r="I205" s="5"/>
      <c r="J205" s="4"/>
      <c r="K205" s="9"/>
      <c r="Y205" s="9"/>
    </row>
    <row r="206" spans="1:25" x14ac:dyDescent="0.25">
      <c r="A206" s="3"/>
      <c r="B206" s="3"/>
      <c r="C206" s="9"/>
      <c r="D206" s="7"/>
      <c r="E206" s="5"/>
      <c r="F206" s="4"/>
      <c r="G206" s="9"/>
      <c r="I206" s="5"/>
      <c r="J206" s="4"/>
      <c r="K206" s="9"/>
      <c r="Y206" s="9"/>
    </row>
    <row r="207" spans="1:25" x14ac:dyDescent="0.25">
      <c r="A207" s="3"/>
      <c r="B207" s="3"/>
      <c r="C207" s="9"/>
      <c r="D207" s="7"/>
      <c r="E207" s="5"/>
      <c r="F207" s="4"/>
      <c r="G207" s="9"/>
      <c r="I207" s="5"/>
      <c r="J207" s="4"/>
      <c r="K207" s="9"/>
      <c r="Y207" s="9"/>
    </row>
    <row r="208" spans="1:25" x14ac:dyDescent="0.25">
      <c r="A208" s="3"/>
      <c r="B208" s="3"/>
      <c r="C208" s="9"/>
      <c r="D208" s="7"/>
      <c r="E208" s="5"/>
      <c r="F208" s="4"/>
      <c r="G208" s="9"/>
      <c r="I208" s="5"/>
      <c r="J208" s="4"/>
      <c r="K208" s="9"/>
      <c r="Y208" s="9"/>
    </row>
    <row r="209" spans="1:25" x14ac:dyDescent="0.25">
      <c r="A209" s="3"/>
      <c r="B209" s="3"/>
      <c r="C209" s="9"/>
      <c r="D209" s="7"/>
      <c r="E209" s="5"/>
      <c r="F209" s="4"/>
      <c r="G209" s="9"/>
      <c r="I209" s="5"/>
      <c r="J209" s="4"/>
      <c r="K209" s="9"/>
      <c r="Y209" s="9"/>
    </row>
    <row r="210" spans="1:25" x14ac:dyDescent="0.25">
      <c r="A210" s="3"/>
      <c r="B210" s="3"/>
      <c r="C210" s="9"/>
      <c r="D210" s="7"/>
      <c r="E210" s="5"/>
      <c r="F210" s="4"/>
      <c r="G210" s="9"/>
      <c r="I210" s="5"/>
      <c r="J210" s="4"/>
      <c r="K210" s="9"/>
      <c r="Y210" s="9"/>
    </row>
    <row r="211" spans="1:25" x14ac:dyDescent="0.25">
      <c r="A211" s="3"/>
      <c r="B211" s="3"/>
      <c r="C211" s="9"/>
      <c r="D211" s="7"/>
      <c r="E211" s="5"/>
      <c r="F211" s="4"/>
      <c r="G211" s="9"/>
      <c r="I211" s="5"/>
      <c r="J211" s="4"/>
      <c r="K211" s="9"/>
      <c r="Y211" s="9"/>
    </row>
    <row r="212" spans="1:25" x14ac:dyDescent="0.25">
      <c r="A212" s="3"/>
      <c r="B212" s="3"/>
      <c r="C212" s="9"/>
      <c r="D212" s="7"/>
      <c r="E212" s="5"/>
      <c r="F212" s="4"/>
      <c r="G212" s="9"/>
      <c r="I212" s="5"/>
      <c r="J212" s="4"/>
      <c r="K212" s="9"/>
      <c r="Y212" s="9"/>
    </row>
    <row r="213" spans="1:25" x14ac:dyDescent="0.25">
      <c r="A213" s="3"/>
      <c r="B213" s="3"/>
      <c r="C213" s="9"/>
      <c r="D213" s="7"/>
      <c r="E213" s="5"/>
      <c r="F213" s="4"/>
      <c r="G213" s="9"/>
      <c r="I213" s="5"/>
      <c r="J213" s="4"/>
      <c r="K213" s="9"/>
      <c r="Y213" s="9"/>
    </row>
    <row r="214" spans="1:25" x14ac:dyDescent="0.25">
      <c r="A214" s="3"/>
      <c r="B214" s="3"/>
      <c r="C214" s="9"/>
      <c r="D214" s="7"/>
      <c r="E214" s="5"/>
      <c r="F214" s="4"/>
      <c r="G214" s="9"/>
      <c r="I214" s="5"/>
      <c r="J214" s="4"/>
      <c r="K214" s="9"/>
      <c r="Y214" s="9"/>
    </row>
    <row r="215" spans="1:25" x14ac:dyDescent="0.25">
      <c r="A215" s="3"/>
      <c r="B215" s="3"/>
      <c r="C215" s="9"/>
      <c r="D215" s="7"/>
      <c r="E215" s="5"/>
      <c r="F215" s="4"/>
      <c r="G215" s="9"/>
      <c r="I215" s="5"/>
      <c r="J215" s="4"/>
      <c r="K215" s="9"/>
      <c r="Y215" s="9"/>
    </row>
    <row r="216" spans="1:25" x14ac:dyDescent="0.25">
      <c r="A216" s="3"/>
      <c r="B216" s="3"/>
      <c r="C216" s="9"/>
      <c r="D216" s="7"/>
      <c r="E216" s="5"/>
      <c r="F216" s="4"/>
      <c r="G216" s="9"/>
      <c r="I216" s="5"/>
      <c r="J216" s="4"/>
      <c r="K216" s="9"/>
      <c r="Y216" s="9"/>
    </row>
    <row r="217" spans="1:25" x14ac:dyDescent="0.25">
      <c r="A217" s="3"/>
      <c r="B217" s="3"/>
      <c r="C217" s="9"/>
      <c r="D217" s="7"/>
      <c r="E217" s="5"/>
      <c r="F217" s="4"/>
      <c r="G217" s="9"/>
      <c r="I217" s="5"/>
      <c r="J217" s="4"/>
      <c r="K217" s="9"/>
      <c r="Y217" s="9"/>
    </row>
    <row r="218" spans="1:25" x14ac:dyDescent="0.25">
      <c r="A218" s="3"/>
      <c r="B218" s="3"/>
      <c r="C218" s="9"/>
      <c r="D218" s="7"/>
      <c r="E218" s="5"/>
      <c r="F218" s="4"/>
      <c r="G218" s="9"/>
      <c r="I218" s="5"/>
      <c r="J218" s="4"/>
      <c r="K218" s="9"/>
      <c r="Y218" s="9"/>
    </row>
    <row r="219" spans="1:25" x14ac:dyDescent="0.25">
      <c r="A219" s="3"/>
      <c r="B219" s="3"/>
      <c r="C219" s="9"/>
      <c r="D219" s="7"/>
      <c r="E219" s="5"/>
      <c r="F219" s="4"/>
      <c r="G219" s="9"/>
      <c r="I219" s="5"/>
      <c r="J219" s="4"/>
      <c r="K219" s="9"/>
      <c r="Y219" s="9"/>
    </row>
    <row r="220" spans="1:25" x14ac:dyDescent="0.25">
      <c r="A220" s="3"/>
      <c r="B220" s="3"/>
      <c r="C220" s="9"/>
      <c r="D220" s="7"/>
      <c r="E220" s="5"/>
      <c r="F220" s="4"/>
      <c r="G220" s="9"/>
      <c r="I220" s="5"/>
      <c r="J220" s="4"/>
      <c r="K220" s="9"/>
      <c r="Y220" s="9"/>
    </row>
    <row r="221" spans="1:25" x14ac:dyDescent="0.25">
      <c r="A221" s="3"/>
      <c r="B221" s="3"/>
      <c r="C221" s="9"/>
      <c r="D221" s="7"/>
      <c r="E221" s="5"/>
      <c r="F221" s="4"/>
      <c r="G221" s="9"/>
      <c r="I221" s="5"/>
      <c r="J221" s="4"/>
      <c r="K221" s="9"/>
      <c r="Y221" s="9"/>
    </row>
    <row r="222" spans="1:25" x14ac:dyDescent="0.25">
      <c r="A222" s="3"/>
      <c r="B222" s="3"/>
      <c r="C222" s="9"/>
      <c r="D222" s="7"/>
      <c r="E222" s="5"/>
      <c r="F222" s="4"/>
      <c r="G222" s="9"/>
      <c r="I222" s="5"/>
      <c r="J222" s="4"/>
      <c r="K222" s="9"/>
      <c r="Y222" s="9"/>
    </row>
    <row r="223" spans="1:25" x14ac:dyDescent="0.25">
      <c r="A223" s="3"/>
      <c r="B223" s="3"/>
      <c r="C223" s="9"/>
      <c r="D223" s="7"/>
      <c r="E223" s="5"/>
      <c r="F223" s="4"/>
      <c r="G223" s="9"/>
      <c r="I223" s="5"/>
      <c r="J223" s="4"/>
      <c r="K223" s="9"/>
      <c r="Y223" s="9"/>
    </row>
    <row r="224" spans="1:25" x14ac:dyDescent="0.25">
      <c r="A224" s="3"/>
      <c r="B224" s="3"/>
      <c r="C224" s="9"/>
      <c r="D224" s="7"/>
      <c r="E224" s="5"/>
      <c r="F224" s="4"/>
      <c r="G224" s="9"/>
      <c r="I224" s="5"/>
      <c r="J224" s="4"/>
      <c r="K224" s="9"/>
      <c r="Y224" s="9"/>
    </row>
    <row r="225" spans="1:25" x14ac:dyDescent="0.25">
      <c r="A225" s="3"/>
      <c r="B225" s="3"/>
      <c r="C225" s="9"/>
      <c r="D225" s="7"/>
      <c r="E225" s="5"/>
      <c r="F225" s="4"/>
      <c r="G225" s="9"/>
      <c r="I225" s="5"/>
      <c r="J225" s="4"/>
      <c r="K225" s="9"/>
      <c r="Y225" s="9"/>
    </row>
    <row r="226" spans="1:25" x14ac:dyDescent="0.25">
      <c r="A226" s="3"/>
      <c r="B226" s="3"/>
      <c r="C226" s="9"/>
      <c r="D226" s="7"/>
      <c r="E226" s="5"/>
      <c r="F226" s="4"/>
      <c r="G226" s="9"/>
      <c r="I226" s="5"/>
      <c r="J226" s="4"/>
      <c r="K226" s="9"/>
      <c r="Y226" s="9"/>
    </row>
    <row r="227" spans="1:25" x14ac:dyDescent="0.25">
      <c r="A227" s="3"/>
      <c r="B227" s="3"/>
      <c r="C227" s="9"/>
      <c r="D227" s="7"/>
      <c r="E227" s="5"/>
      <c r="F227" s="4"/>
      <c r="G227" s="9"/>
      <c r="I227" s="5"/>
      <c r="J227" s="4"/>
      <c r="K227" s="9"/>
      <c r="Y227" s="9"/>
    </row>
    <row r="228" spans="1:25" x14ac:dyDescent="0.25">
      <c r="A228" s="3"/>
      <c r="B228" s="3"/>
      <c r="C228" s="9"/>
      <c r="D228" s="7"/>
      <c r="E228" s="5"/>
      <c r="F228" s="4"/>
      <c r="G228" s="9"/>
      <c r="I228" s="5"/>
      <c r="J228" s="4"/>
      <c r="K228" s="9"/>
      <c r="Y228" s="9"/>
    </row>
    <row r="229" spans="1:25" x14ac:dyDescent="0.25">
      <c r="A229" s="3"/>
      <c r="B229" s="3"/>
      <c r="C229" s="9"/>
      <c r="D229" s="7"/>
      <c r="E229" s="5"/>
      <c r="F229" s="4"/>
      <c r="G229" s="9"/>
      <c r="I229" s="5"/>
      <c r="J229" s="4"/>
      <c r="K229" s="9"/>
      <c r="Y229" s="9"/>
    </row>
    <row r="230" spans="1:25" x14ac:dyDescent="0.25">
      <c r="A230" s="3"/>
      <c r="B230" s="3"/>
      <c r="C230" s="9"/>
      <c r="D230" s="7"/>
      <c r="E230" s="5"/>
      <c r="F230" s="4"/>
      <c r="G230" s="9"/>
      <c r="I230" s="5"/>
      <c r="J230" s="4"/>
      <c r="K230" s="9"/>
      <c r="Y230" s="9"/>
    </row>
    <row r="231" spans="1:25" x14ac:dyDescent="0.25">
      <c r="A231" s="3"/>
      <c r="B231" s="3"/>
      <c r="C231" s="9"/>
      <c r="D231" s="7"/>
      <c r="E231" s="5"/>
      <c r="F231" s="4"/>
      <c r="G231" s="9"/>
      <c r="I231" s="5"/>
      <c r="J231" s="4"/>
      <c r="K231" s="9"/>
      <c r="Y231" s="9"/>
    </row>
    <row r="232" spans="1:25" x14ac:dyDescent="0.25">
      <c r="A232" s="3"/>
      <c r="B232" s="3"/>
      <c r="C232" s="9"/>
      <c r="D232" s="7"/>
      <c r="E232" s="5"/>
      <c r="F232" s="4"/>
      <c r="G232" s="9"/>
      <c r="I232" s="5"/>
      <c r="J232" s="4"/>
      <c r="K232" s="9"/>
      <c r="Y232" s="9"/>
    </row>
    <row r="233" spans="1:25" x14ac:dyDescent="0.25">
      <c r="A233" s="3"/>
      <c r="B233" s="3"/>
      <c r="C233" s="9"/>
      <c r="D233" s="7"/>
      <c r="E233" s="5"/>
      <c r="F233" s="4"/>
      <c r="G233" s="9"/>
      <c r="I233" s="5"/>
      <c r="J233" s="4"/>
      <c r="K233" s="9"/>
      <c r="Y233" s="9"/>
    </row>
    <row r="234" spans="1:25" x14ac:dyDescent="0.25">
      <c r="A234" s="3"/>
      <c r="B234" s="3"/>
      <c r="C234" s="9"/>
      <c r="D234" s="7"/>
      <c r="E234" s="5"/>
      <c r="F234" s="4"/>
      <c r="G234" s="9"/>
      <c r="I234" s="5"/>
      <c r="J234" s="4"/>
      <c r="K234" s="9"/>
      <c r="Y234" s="9"/>
    </row>
    <row r="235" spans="1:25" x14ac:dyDescent="0.25">
      <c r="A235" s="3"/>
      <c r="B235" s="3"/>
      <c r="C235" s="9"/>
      <c r="D235" s="7"/>
      <c r="E235" s="5"/>
      <c r="F235" s="4"/>
      <c r="G235" s="9"/>
      <c r="I235" s="5"/>
      <c r="J235" s="4"/>
      <c r="K235" s="9"/>
      <c r="Y235" s="9"/>
    </row>
    <row r="236" spans="1:25" x14ac:dyDescent="0.25">
      <c r="A236" s="3"/>
      <c r="B236" s="3"/>
      <c r="C236" s="9"/>
      <c r="D236" s="7"/>
      <c r="E236" s="5"/>
      <c r="F236" s="4"/>
      <c r="G236" s="9"/>
      <c r="I236" s="5"/>
      <c r="J236" s="4"/>
      <c r="K236" s="9"/>
      <c r="Y236" s="9"/>
    </row>
    <row r="237" spans="1:25" x14ac:dyDescent="0.25">
      <c r="A237" s="3"/>
      <c r="B237" s="3"/>
      <c r="C237" s="9"/>
      <c r="D237" s="7"/>
      <c r="E237" s="5"/>
      <c r="F237" s="4"/>
      <c r="G237" s="9"/>
      <c r="I237" s="5"/>
      <c r="J237" s="4"/>
      <c r="K237" s="9"/>
      <c r="Y237" s="9"/>
    </row>
    <row r="238" spans="1:25" x14ac:dyDescent="0.25">
      <c r="A238" s="3"/>
      <c r="B238" s="3"/>
      <c r="C238" s="9"/>
      <c r="D238" s="7"/>
      <c r="E238" s="5"/>
      <c r="F238" s="4"/>
      <c r="G238" s="9"/>
      <c r="I238" s="5"/>
      <c r="J238" s="4"/>
      <c r="K238" s="9"/>
      <c r="Y238" s="9"/>
    </row>
    <row r="239" spans="1:25" x14ac:dyDescent="0.25">
      <c r="A239" s="3"/>
      <c r="B239" s="3"/>
      <c r="C239" s="9"/>
      <c r="D239" s="7"/>
      <c r="E239" s="5"/>
      <c r="F239" s="4"/>
      <c r="G239" s="9"/>
      <c r="I239" s="5"/>
      <c r="J239" s="4"/>
      <c r="K239" s="9"/>
      <c r="Y239" s="9"/>
    </row>
    <row r="240" spans="1:25" x14ac:dyDescent="0.25">
      <c r="A240" s="3"/>
      <c r="B240" s="3"/>
      <c r="C240" s="9"/>
      <c r="D240" s="7"/>
      <c r="E240" s="5"/>
      <c r="F240" s="4"/>
      <c r="G240" s="9"/>
      <c r="I240" s="5"/>
      <c r="J240" s="4"/>
      <c r="K240" s="9"/>
      <c r="Y240" s="9"/>
    </row>
    <row r="241" spans="1:25" x14ac:dyDescent="0.25">
      <c r="A241" s="3"/>
      <c r="B241" s="3"/>
      <c r="C241" s="9"/>
      <c r="D241" s="7"/>
      <c r="E241" s="5"/>
      <c r="F241" s="4"/>
      <c r="G241" s="9"/>
      <c r="I241" s="5"/>
      <c r="J241" s="4"/>
      <c r="K241" s="9"/>
      <c r="Y241" s="9"/>
    </row>
    <row r="242" spans="1:25" x14ac:dyDescent="0.25">
      <c r="A242" s="3"/>
      <c r="B242" s="3"/>
      <c r="C242" s="9"/>
      <c r="D242" s="7"/>
      <c r="E242" s="5"/>
      <c r="F242" s="4"/>
      <c r="G242" s="9"/>
      <c r="I242" s="5"/>
      <c r="J242" s="4"/>
      <c r="K242" s="9"/>
      <c r="Y242" s="9"/>
    </row>
    <row r="243" spans="1:25" x14ac:dyDescent="0.25">
      <c r="A243" s="3"/>
      <c r="B243" s="3"/>
      <c r="C243" s="9"/>
      <c r="D243" s="7"/>
      <c r="E243" s="5"/>
      <c r="F243" s="4"/>
      <c r="G243" s="9"/>
      <c r="I243" s="5"/>
      <c r="J243" s="4"/>
      <c r="K243" s="9"/>
      <c r="Y243" s="9"/>
    </row>
    <row r="244" spans="1:25" x14ac:dyDescent="0.25">
      <c r="A244" s="3"/>
      <c r="B244" s="3"/>
      <c r="C244" s="9"/>
      <c r="D244" s="7"/>
      <c r="E244" s="5"/>
      <c r="F244" s="4"/>
      <c r="G244" s="9"/>
      <c r="I244" s="5"/>
      <c r="J244" s="4"/>
      <c r="K244" s="9"/>
      <c r="Y244" s="9"/>
    </row>
    <row r="245" spans="1:25" x14ac:dyDescent="0.25">
      <c r="A245" s="3"/>
      <c r="B245" s="3"/>
      <c r="C245" s="9"/>
      <c r="D245" s="7"/>
      <c r="E245" s="5"/>
      <c r="F245" s="4"/>
      <c r="G245" s="9"/>
      <c r="I245" s="5"/>
      <c r="J245" s="4"/>
      <c r="K245" s="9"/>
      <c r="Y245" s="9"/>
    </row>
    <row r="246" spans="1:25" x14ac:dyDescent="0.25">
      <c r="A246" s="3"/>
      <c r="B246" s="3"/>
      <c r="C246" s="9"/>
      <c r="D246" s="7"/>
      <c r="E246" s="5"/>
      <c r="F246" s="4"/>
      <c r="G246" s="9"/>
      <c r="I246" s="5"/>
      <c r="J246" s="4"/>
      <c r="K246" s="9"/>
      <c r="Y246" s="9"/>
    </row>
    <row r="247" spans="1:25" x14ac:dyDescent="0.25">
      <c r="A247" s="3"/>
      <c r="B247" s="3"/>
      <c r="C247" s="9"/>
      <c r="D247" s="7"/>
      <c r="E247" s="5"/>
      <c r="F247" s="4"/>
      <c r="G247" s="9"/>
      <c r="I247" s="5"/>
      <c r="J247" s="4"/>
      <c r="K247" s="9"/>
      <c r="Y247" s="9"/>
    </row>
    <row r="248" spans="1:25" x14ac:dyDescent="0.25">
      <c r="A248" s="3"/>
      <c r="B248" s="3"/>
      <c r="C248" s="9"/>
      <c r="D248" s="7"/>
      <c r="E248" s="5"/>
      <c r="F248" s="4"/>
      <c r="G248" s="9"/>
      <c r="I248" s="5"/>
      <c r="J248" s="4"/>
      <c r="K248" s="9"/>
      <c r="Y248" s="9"/>
    </row>
    <row r="249" spans="1:25" x14ac:dyDescent="0.25">
      <c r="A249" s="3"/>
      <c r="B249" s="3"/>
      <c r="C249" s="9"/>
      <c r="D249" s="7"/>
      <c r="E249" s="5"/>
      <c r="F249" s="4"/>
      <c r="G249" s="9"/>
      <c r="I249" s="5"/>
      <c r="J249" s="4"/>
      <c r="K249" s="9"/>
      <c r="Y249" s="9"/>
    </row>
    <row r="250" spans="1:25" x14ac:dyDescent="0.25">
      <c r="A250" s="3"/>
      <c r="B250" s="3"/>
      <c r="C250" s="9"/>
      <c r="D250" s="7"/>
      <c r="E250" s="5"/>
      <c r="F250" s="4"/>
      <c r="G250" s="9"/>
      <c r="I250" s="5"/>
      <c r="J250" s="4"/>
      <c r="K250" s="9"/>
      <c r="Y250" s="9"/>
    </row>
    <row r="251" spans="1:25" x14ac:dyDescent="0.25">
      <c r="A251" s="3"/>
      <c r="B251" s="3"/>
      <c r="C251" s="9"/>
      <c r="D251" s="7"/>
      <c r="E251" s="5"/>
      <c r="F251" s="4"/>
      <c r="G251" s="9"/>
      <c r="I251" s="5"/>
      <c r="J251" s="4"/>
      <c r="K251" s="9"/>
      <c r="Y251" s="9"/>
    </row>
    <row r="252" spans="1:25" x14ac:dyDescent="0.25">
      <c r="A252" s="3"/>
      <c r="B252" s="3"/>
      <c r="C252" s="9"/>
      <c r="D252" s="7"/>
      <c r="E252" s="5"/>
      <c r="F252" s="4"/>
      <c r="G252" s="9"/>
      <c r="I252" s="5"/>
      <c r="J252" s="4"/>
      <c r="K252" s="9"/>
      <c r="Y252" s="9"/>
    </row>
    <row r="253" spans="1:25" x14ac:dyDescent="0.25">
      <c r="A253" s="3"/>
      <c r="B253" s="3"/>
      <c r="C253" s="9"/>
      <c r="D253" s="7"/>
      <c r="E253" s="5"/>
      <c r="F253" s="4"/>
      <c r="G253" s="9"/>
      <c r="I253" s="5"/>
      <c r="J253" s="4"/>
      <c r="K253" s="9"/>
      <c r="Y253" s="9"/>
    </row>
    <row r="254" spans="1:25" x14ac:dyDescent="0.25">
      <c r="A254" s="3"/>
      <c r="B254" s="3"/>
      <c r="C254" s="9"/>
      <c r="D254" s="7"/>
      <c r="E254" s="5"/>
      <c r="F254" s="4"/>
      <c r="G254" s="9"/>
      <c r="I254" s="5"/>
      <c r="J254" s="4"/>
      <c r="K254" s="9"/>
      <c r="Y254" s="9"/>
    </row>
    <row r="255" spans="1:25" x14ac:dyDescent="0.25">
      <c r="A255" s="3"/>
      <c r="B255" s="3"/>
      <c r="C255" s="9"/>
      <c r="D255" s="7"/>
      <c r="E255" s="5"/>
      <c r="F255" s="4"/>
      <c r="G255" s="9"/>
      <c r="I255" s="5"/>
      <c r="J255" s="4"/>
      <c r="K255" s="9"/>
      <c r="Y255" s="9"/>
    </row>
    <row r="256" spans="1:25" x14ac:dyDescent="0.25">
      <c r="A256" s="3"/>
      <c r="B256" s="3"/>
      <c r="C256" s="9"/>
      <c r="D256" s="7"/>
      <c r="E256" s="5"/>
      <c r="F256" s="4"/>
      <c r="G256" s="9"/>
      <c r="I256" s="5"/>
      <c r="J256" s="4"/>
      <c r="K256" s="9"/>
      <c r="Y256" s="9"/>
    </row>
    <row r="257" spans="1:25" x14ac:dyDescent="0.25">
      <c r="A257" s="3"/>
      <c r="B257" s="3"/>
      <c r="C257" s="9"/>
      <c r="D257" s="7"/>
      <c r="E257" s="5"/>
      <c r="F257" s="4"/>
      <c r="G257" s="9"/>
      <c r="I257" s="5"/>
      <c r="J257" s="4"/>
      <c r="K257" s="9"/>
      <c r="Y257" s="9"/>
    </row>
    <row r="258" spans="1:25" x14ac:dyDescent="0.25">
      <c r="A258" s="3"/>
      <c r="B258" s="3"/>
      <c r="C258" s="9"/>
      <c r="D258" s="7"/>
      <c r="E258" s="5"/>
      <c r="F258" s="4"/>
      <c r="G258" s="9"/>
      <c r="I258" s="5"/>
      <c r="J258" s="4"/>
      <c r="K258" s="9"/>
      <c r="Y258" s="9"/>
    </row>
    <row r="259" spans="1:25" x14ac:dyDescent="0.25">
      <c r="A259" s="3"/>
      <c r="B259" s="3"/>
      <c r="C259" s="9"/>
      <c r="D259" s="7"/>
      <c r="E259" s="5"/>
      <c r="F259" s="4"/>
      <c r="G259" s="9"/>
      <c r="I259" s="5"/>
      <c r="J259" s="4"/>
      <c r="K259" s="9"/>
      <c r="Y259" s="9"/>
    </row>
    <row r="260" spans="1:25" x14ac:dyDescent="0.25">
      <c r="A260" s="3"/>
      <c r="B260" s="3"/>
      <c r="C260" s="9"/>
      <c r="D260" s="7"/>
      <c r="E260" s="5"/>
      <c r="F260" s="4"/>
      <c r="G260" s="9"/>
      <c r="I260" s="5"/>
      <c r="J260" s="4"/>
      <c r="K260" s="9"/>
      <c r="Y260" s="9"/>
    </row>
    <row r="261" spans="1:25" x14ac:dyDescent="0.25">
      <c r="A261" s="3"/>
      <c r="B261" s="3"/>
      <c r="C261" s="9"/>
      <c r="D261" s="7"/>
      <c r="E261" s="5"/>
      <c r="F261" s="4"/>
      <c r="G261" s="9"/>
      <c r="I261" s="5"/>
      <c r="J261" s="4"/>
      <c r="K261" s="9"/>
      <c r="Y261" s="9"/>
    </row>
    <row r="262" spans="1:25" x14ac:dyDescent="0.25">
      <c r="A262" s="3"/>
      <c r="B262" s="3"/>
      <c r="C262" s="9"/>
      <c r="D262" s="7"/>
      <c r="E262" s="5"/>
      <c r="F262" s="4"/>
      <c r="G262" s="9"/>
      <c r="I262" s="5"/>
      <c r="J262" s="4"/>
      <c r="K262" s="9"/>
      <c r="Y262" s="9"/>
    </row>
    <row r="263" spans="1:25" x14ac:dyDescent="0.25">
      <c r="A263" s="3"/>
      <c r="B263" s="3"/>
      <c r="C263" s="9"/>
      <c r="D263" s="7"/>
      <c r="E263" s="5"/>
      <c r="F263" s="4"/>
      <c r="G263" s="9"/>
      <c r="I263" s="5"/>
      <c r="J263" s="4"/>
      <c r="K263" s="9"/>
      <c r="Y263" s="9"/>
    </row>
    <row r="264" spans="1:25" x14ac:dyDescent="0.25">
      <c r="A264" s="3"/>
      <c r="B264" s="3"/>
      <c r="C264" s="9"/>
      <c r="D264" s="7"/>
      <c r="E264" s="5"/>
      <c r="F264" s="4"/>
      <c r="G264" s="9"/>
      <c r="I264" s="5"/>
      <c r="J264" s="4"/>
      <c r="K264" s="9"/>
      <c r="Y264" s="9"/>
    </row>
    <row r="265" spans="1:25" x14ac:dyDescent="0.25">
      <c r="A265" s="3"/>
      <c r="B265" s="3"/>
      <c r="C265" s="9"/>
      <c r="D265" s="7"/>
      <c r="E265" s="5"/>
      <c r="F265" s="4"/>
      <c r="G265" s="9"/>
      <c r="I265" s="5"/>
      <c r="J265" s="4"/>
      <c r="K265" s="9"/>
      <c r="Y265" s="9"/>
    </row>
    <row r="266" spans="1:25" x14ac:dyDescent="0.25">
      <c r="A266" s="3"/>
      <c r="B266" s="3"/>
      <c r="C266" s="9"/>
      <c r="D266" s="7"/>
      <c r="E266" s="5"/>
      <c r="F266" s="4"/>
      <c r="G266" s="9"/>
      <c r="I266" s="5"/>
      <c r="J266" s="4"/>
      <c r="K266" s="9"/>
      <c r="Y266" s="9"/>
    </row>
    <row r="267" spans="1:25" x14ac:dyDescent="0.25">
      <c r="A267" s="3"/>
      <c r="B267" s="3"/>
      <c r="C267" s="9"/>
      <c r="D267" s="7"/>
      <c r="E267" s="5"/>
      <c r="F267" s="4"/>
      <c r="G267" s="9"/>
      <c r="I267" s="5"/>
      <c r="J267" s="4"/>
      <c r="K267" s="9"/>
      <c r="Y267" s="9"/>
    </row>
    <row r="268" spans="1:25" x14ac:dyDescent="0.25">
      <c r="A268" s="3"/>
      <c r="B268" s="3"/>
      <c r="C268" s="9"/>
      <c r="D268" s="7"/>
      <c r="E268" s="5"/>
      <c r="F268" s="4"/>
      <c r="G268" s="9"/>
      <c r="I268" s="5"/>
      <c r="J268" s="4"/>
      <c r="K268" s="9"/>
      <c r="Y268" s="9"/>
    </row>
    <row r="269" spans="1:25" x14ac:dyDescent="0.25">
      <c r="A269" s="3"/>
      <c r="B269" s="3"/>
      <c r="C269" s="9"/>
      <c r="D269" s="7"/>
      <c r="E269" s="5"/>
      <c r="F269" s="4"/>
      <c r="G269" s="9"/>
      <c r="I269" s="5"/>
      <c r="J269" s="4"/>
      <c r="K269" s="9"/>
      <c r="Y269" s="9"/>
    </row>
    <row r="270" spans="1:25" x14ac:dyDescent="0.25">
      <c r="A270" s="3"/>
      <c r="B270" s="3"/>
      <c r="C270" s="9"/>
      <c r="D270" s="7"/>
      <c r="E270" s="5"/>
      <c r="F270" s="4"/>
      <c r="G270" s="9"/>
      <c r="I270" s="5"/>
      <c r="J270" s="4"/>
      <c r="K270" s="9"/>
      <c r="Y270" s="9"/>
    </row>
    <row r="271" spans="1:25" x14ac:dyDescent="0.25">
      <c r="A271" s="3"/>
      <c r="B271" s="3"/>
      <c r="C271" s="9"/>
      <c r="D271" s="7"/>
      <c r="E271" s="5"/>
      <c r="F271" s="4"/>
      <c r="G271" s="9"/>
      <c r="I271" s="5"/>
      <c r="J271" s="4"/>
      <c r="K271" s="9"/>
      <c r="Y271" s="9"/>
    </row>
    <row r="272" spans="1:25" x14ac:dyDescent="0.25">
      <c r="A272" s="3"/>
      <c r="B272" s="3"/>
      <c r="C272" s="9"/>
      <c r="D272" s="7"/>
      <c r="E272" s="5"/>
      <c r="F272" s="4"/>
      <c r="G272" s="9"/>
      <c r="I272" s="5"/>
      <c r="J272" s="4"/>
      <c r="K272" s="9"/>
      <c r="Y272" s="9"/>
    </row>
    <row r="273" spans="1:25" x14ac:dyDescent="0.25">
      <c r="A273" s="3"/>
      <c r="B273" s="3"/>
      <c r="C273" s="9"/>
      <c r="D273" s="7"/>
      <c r="E273" s="5"/>
      <c r="F273" s="4"/>
      <c r="G273" s="9"/>
      <c r="I273" s="5"/>
      <c r="J273" s="4"/>
      <c r="K273" s="9"/>
      <c r="Y273" s="9"/>
    </row>
    <row r="274" spans="1:25" x14ac:dyDescent="0.25">
      <c r="A274" s="3"/>
      <c r="B274" s="3"/>
      <c r="C274" s="9"/>
      <c r="D274" s="7"/>
      <c r="E274" s="5"/>
      <c r="F274" s="4"/>
      <c r="G274" s="9"/>
      <c r="I274" s="5"/>
      <c r="J274" s="4"/>
      <c r="K274" s="9"/>
      <c r="Y274" s="9"/>
    </row>
    <row r="275" spans="1:25" x14ac:dyDescent="0.25">
      <c r="A275" s="3"/>
      <c r="B275" s="3"/>
      <c r="C275" s="9"/>
      <c r="D275" s="7"/>
      <c r="E275" s="5"/>
      <c r="F275" s="4"/>
      <c r="G275" s="9"/>
      <c r="I275" s="5"/>
      <c r="J275" s="4"/>
      <c r="K275" s="9"/>
      <c r="Y275" s="9"/>
    </row>
    <row r="276" spans="1:25" x14ac:dyDescent="0.25">
      <c r="A276" s="3"/>
      <c r="B276" s="3"/>
      <c r="C276" s="9"/>
      <c r="D276" s="7"/>
      <c r="E276" s="5"/>
      <c r="F276" s="4"/>
      <c r="G276" s="9"/>
      <c r="I276" s="5"/>
      <c r="J276" s="4"/>
      <c r="K276" s="9"/>
      <c r="Y276" s="9"/>
    </row>
    <row r="277" spans="1:25" x14ac:dyDescent="0.25">
      <c r="A277" s="3"/>
      <c r="B277" s="3"/>
      <c r="C277" s="9"/>
      <c r="D277" s="7"/>
      <c r="E277" s="5"/>
      <c r="F277" s="4"/>
      <c r="G277" s="9"/>
      <c r="I277" s="5"/>
      <c r="J277" s="4"/>
      <c r="K277" s="9"/>
      <c r="Y277" s="9"/>
    </row>
    <row r="278" spans="1:25" x14ac:dyDescent="0.25">
      <c r="A278" s="3"/>
      <c r="B278" s="3"/>
      <c r="C278" s="9"/>
      <c r="D278" s="7"/>
      <c r="E278" s="5"/>
      <c r="F278" s="4"/>
      <c r="G278" s="9"/>
      <c r="I278" s="5"/>
      <c r="J278" s="4"/>
      <c r="K278" s="9"/>
      <c r="Y278" s="9"/>
    </row>
    <row r="279" spans="1:25" x14ac:dyDescent="0.25">
      <c r="A279" s="3"/>
      <c r="B279" s="3"/>
      <c r="C279" s="9"/>
      <c r="D279" s="7"/>
      <c r="E279" s="5"/>
      <c r="F279" s="4"/>
      <c r="G279" s="9"/>
      <c r="I279" s="5"/>
      <c r="J279" s="4"/>
      <c r="K279" s="9"/>
      <c r="Y279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926F-9E13-46AE-8ECE-9F1B78A5CE5D}">
  <dimension ref="A1:CB40"/>
  <sheetViews>
    <sheetView topLeftCell="I1" zoomScale="85" zoomScaleNormal="85" workbookViewId="0">
      <selection activeCell="K11" sqref="K11"/>
    </sheetView>
  </sheetViews>
  <sheetFormatPr defaultRowHeight="15.75" x14ac:dyDescent="0.25"/>
  <cols>
    <col min="1" max="1" width="4.7109375" style="3" bestFit="1" customWidth="1"/>
    <col min="2" max="2" width="10.42578125" style="3" bestFit="1" customWidth="1"/>
    <col min="3" max="3" width="15.5703125" style="9" bestFit="1" customWidth="1"/>
    <col min="4" max="4" width="15.5703125" style="7" bestFit="1" customWidth="1"/>
    <col min="5" max="5" width="15.5703125" style="5" bestFit="1" customWidth="1"/>
    <col min="6" max="6" width="15.5703125" style="4" bestFit="1" customWidth="1"/>
    <col min="7" max="7" width="15.5703125" style="9" bestFit="1" customWidth="1"/>
    <col min="8" max="8" width="15.5703125" style="7" bestFit="1" customWidth="1"/>
    <col min="9" max="9" width="15.5703125" style="5" bestFit="1" customWidth="1"/>
    <col min="10" max="10" width="15.5703125" style="4" bestFit="1" customWidth="1"/>
    <col min="11" max="11" width="15.5703125" style="9" bestFit="1" customWidth="1"/>
    <col min="12" max="12" width="9.140625" style="5"/>
    <col min="13" max="13" width="9.140625" style="4"/>
    <col min="14" max="14" width="9.140625" style="3"/>
    <col min="15" max="16" width="13" style="3" bestFit="1" customWidth="1"/>
    <col min="17" max="17" width="34.5703125" style="3" bestFit="1" customWidth="1"/>
    <col min="18" max="18" width="35.85546875" style="3" bestFit="1" customWidth="1"/>
    <col min="19" max="19" width="13" style="3" bestFit="1" customWidth="1"/>
    <col min="20" max="21" width="25.7109375" style="3" bestFit="1" customWidth="1"/>
    <col min="22" max="22" width="25" style="3" bestFit="1" customWidth="1"/>
    <col min="23" max="24" width="25.7109375" style="3" bestFit="1" customWidth="1"/>
    <col min="25" max="25" width="25" style="9" bestFit="1" customWidth="1"/>
    <col min="26" max="26" width="25.7109375" style="5" bestFit="1" customWidth="1"/>
    <col min="27" max="27" width="25.7109375" style="4" bestFit="1" customWidth="1"/>
    <col min="28" max="28" width="33.5703125" style="3" bestFit="1" customWidth="1"/>
    <col min="29" max="29" width="21.42578125" style="3" bestFit="1" customWidth="1"/>
    <col min="30" max="38" width="13" style="3" bestFit="1" customWidth="1"/>
    <col min="39" max="39" width="13.5703125" style="3" bestFit="1" customWidth="1"/>
    <col min="40" max="40" width="13.28515625" style="3" bestFit="1" customWidth="1"/>
    <col min="41" max="44" width="9.140625" style="3"/>
    <col min="45" max="54" width="13.5703125" style="3" bestFit="1" customWidth="1"/>
    <col min="55" max="58" width="9.140625" style="3"/>
    <col min="59" max="62" width="17.28515625" style="3" bestFit="1" customWidth="1"/>
    <col min="63" max="63" width="17.5703125" style="3" bestFit="1" customWidth="1"/>
    <col min="64" max="64" width="17.28515625" style="3" bestFit="1" customWidth="1"/>
    <col min="65" max="16384" width="9.140625" style="3"/>
  </cols>
  <sheetData>
    <row r="1" spans="1:80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N1" s="9" t="str">
        <f t="shared" ref="N1:N12" si="0">K1</f>
        <v>det22_c</v>
      </c>
      <c r="O1" s="5">
        <f t="shared" ref="O1:O12" si="1">L1</f>
        <v>0</v>
      </c>
      <c r="P1" s="4">
        <f t="shared" ref="P1:P12" si="2">M1</f>
        <v>0</v>
      </c>
      <c r="Q1" s="3" t="s">
        <v>36</v>
      </c>
      <c r="R1" s="3" t="s">
        <v>80</v>
      </c>
      <c r="S1" s="3" t="s">
        <v>22</v>
      </c>
      <c r="T1" s="3" t="s">
        <v>15</v>
      </c>
      <c r="U1" s="36" t="str">
        <f>LEFT(T1, LEN(T1)-2) &amp; "1]"</f>
        <v>det22_reg [1]</v>
      </c>
      <c r="V1" s="3" t="s">
        <v>16</v>
      </c>
      <c r="W1" s="3" t="s">
        <v>17</v>
      </c>
      <c r="X1" s="3" t="s">
        <v>14</v>
      </c>
      <c r="Y1" s="3" t="s">
        <v>18</v>
      </c>
      <c r="Z1" s="3" t="s">
        <v>19</v>
      </c>
      <c r="AA1" s="3" t="s">
        <v>20</v>
      </c>
      <c r="AB1" s="3" t="s">
        <v>33</v>
      </c>
      <c r="AC1" s="3" t="s">
        <v>34</v>
      </c>
      <c r="AD1" s="3" t="s">
        <v>23</v>
      </c>
      <c r="AP1" s="3" t="s">
        <v>1</v>
      </c>
      <c r="AQ1" s="3" t="s">
        <v>2</v>
      </c>
      <c r="AR1" s="9" t="s">
        <v>3</v>
      </c>
      <c r="AS1" s="7" t="s">
        <v>11</v>
      </c>
      <c r="AT1" s="5" t="s">
        <v>4</v>
      </c>
      <c r="AU1" s="4" t="s">
        <v>5</v>
      </c>
      <c r="AV1" s="9" t="s">
        <v>6</v>
      </c>
      <c r="AW1" s="7" t="s">
        <v>7</v>
      </c>
      <c r="AX1" s="5" t="s">
        <v>8</v>
      </c>
      <c r="AY1" s="4" t="s">
        <v>9</v>
      </c>
      <c r="AZ1" s="9" t="s">
        <v>12</v>
      </c>
      <c r="BA1" s="5"/>
      <c r="BB1" s="4"/>
      <c r="BD1" s="9">
        <f t="shared" ref="BD1:BD9" si="3">P1</f>
        <v>0</v>
      </c>
      <c r="BE1" s="5" t="s">
        <v>0</v>
      </c>
      <c r="BF1" s="4" t="s">
        <v>0</v>
      </c>
      <c r="BG1" s="3" t="s">
        <v>35</v>
      </c>
      <c r="BJ1" s="3" t="s">
        <v>80</v>
      </c>
      <c r="BK1" s="3" t="s">
        <v>68</v>
      </c>
      <c r="BL1" s="3" t="s">
        <v>69</v>
      </c>
      <c r="BQ1" s="3" t="s">
        <v>49</v>
      </c>
      <c r="BR1" s="3" t="s">
        <v>15</v>
      </c>
      <c r="BS1" s="3" t="str">
        <f>LEFT(BR1, LEN(BR1)-2) &amp; "1]"</f>
        <v>det22_reg [1]</v>
      </c>
      <c r="BT1" s="3" t="s">
        <v>16</v>
      </c>
      <c r="BU1" s="3" t="s">
        <v>17</v>
      </c>
      <c r="BV1" s="3" t="s">
        <v>14</v>
      </c>
      <c r="BW1" s="3" t="s">
        <v>18</v>
      </c>
      <c r="BX1" s="3" t="s">
        <v>19</v>
      </c>
      <c r="BY1" s="3" t="s">
        <v>20</v>
      </c>
      <c r="BZ1" s="3" t="s">
        <v>33</v>
      </c>
      <c r="CA1" s="3" t="s">
        <v>34</v>
      </c>
      <c r="CB1" s="3" t="s">
        <v>23</v>
      </c>
    </row>
    <row r="2" spans="1:80" x14ac:dyDescent="0.25">
      <c r="A2" s="3">
        <v>0</v>
      </c>
      <c r="N2" s="9">
        <f t="shared" si="0"/>
        <v>0</v>
      </c>
      <c r="O2" s="5">
        <f t="shared" si="1"/>
        <v>0</v>
      </c>
      <c r="P2" s="4">
        <f t="shared" si="2"/>
        <v>0</v>
      </c>
      <c r="Q2" s="3" t="s">
        <v>71</v>
      </c>
      <c r="U2" s="36" t="s">
        <v>75</v>
      </c>
      <c r="V2" s="3" t="s">
        <v>74</v>
      </c>
      <c r="W2" s="3" t="s">
        <v>96</v>
      </c>
      <c r="X2" s="3" t="s">
        <v>78</v>
      </c>
      <c r="Y2" s="3" t="s">
        <v>76</v>
      </c>
      <c r="Z2" s="3" t="s">
        <v>73</v>
      </c>
      <c r="AA2" s="3" t="s">
        <v>72</v>
      </c>
      <c r="AB2" s="3" t="s">
        <v>79</v>
      </c>
      <c r="AC2" s="3" t="s">
        <v>77</v>
      </c>
      <c r="AP2" s="3">
        <v>0</v>
      </c>
      <c r="AR2" s="9"/>
      <c r="AS2" s="7"/>
      <c r="AT2" s="5"/>
      <c r="AU2" s="4"/>
      <c r="AV2" s="9"/>
      <c r="AW2" s="7"/>
      <c r="AX2" s="5"/>
      <c r="AY2" s="4"/>
      <c r="AZ2" s="9"/>
      <c r="BA2" s="5"/>
      <c r="BB2" s="4"/>
      <c r="BD2" s="9">
        <f t="shared" si="3"/>
        <v>0</v>
      </c>
      <c r="BE2" s="5">
        <f t="shared" ref="BE2:BE9" si="4">S2</f>
        <v>0</v>
      </c>
      <c r="BF2" s="4"/>
    </row>
    <row r="3" spans="1:80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N3" s="9">
        <f t="shared" si="0"/>
        <v>0</v>
      </c>
      <c r="O3" s="5">
        <f t="shared" si="1"/>
        <v>0</v>
      </c>
      <c r="P3" s="4">
        <f t="shared" si="2"/>
        <v>0</v>
      </c>
      <c r="U3" s="36"/>
      <c r="Y3" s="3"/>
      <c r="Z3" s="3"/>
      <c r="AA3" s="3"/>
      <c r="AP3" s="3">
        <v>1</v>
      </c>
      <c r="AQ3" s="3">
        <v>1</v>
      </c>
      <c r="AR3" s="9" t="s">
        <v>10</v>
      </c>
      <c r="AS3" s="7" t="s">
        <v>10</v>
      </c>
      <c r="AT3" s="5" t="s">
        <v>10</v>
      </c>
      <c r="AU3" s="4" t="s">
        <v>10</v>
      </c>
      <c r="AV3" s="9" t="s">
        <v>10</v>
      </c>
      <c r="AW3" s="7" t="s">
        <v>10</v>
      </c>
      <c r="AX3" s="5" t="s">
        <v>10</v>
      </c>
      <c r="AY3" s="4">
        <v>1</v>
      </c>
      <c r="AZ3" s="9"/>
      <c r="BA3" s="5"/>
      <c r="BB3" s="4"/>
      <c r="BD3" s="9">
        <f t="shared" si="3"/>
        <v>0</v>
      </c>
      <c r="BE3" s="5">
        <f t="shared" si="4"/>
        <v>0</v>
      </c>
      <c r="BF3" s="4">
        <f t="shared" ref="BF3:BF9" si="5">T3</f>
        <v>0</v>
      </c>
    </row>
    <row r="4" spans="1:80" x14ac:dyDescent="0.25">
      <c r="A4" s="3">
        <v>2</v>
      </c>
      <c r="B4" s="3">
        <v>2</v>
      </c>
      <c r="C4" s="9" t="str">
        <f t="shared" ref="C4:I19" si="6">D3</f>
        <v>X</v>
      </c>
      <c r="D4" s="7" t="str">
        <f t="shared" si="6"/>
        <v>X</v>
      </c>
      <c r="E4" s="5" t="str">
        <f t="shared" si="6"/>
        <v>X</v>
      </c>
      <c r="F4" s="4" t="str">
        <f t="shared" si="6"/>
        <v>X</v>
      </c>
      <c r="G4" s="9" t="str">
        <f t="shared" si="6"/>
        <v>X</v>
      </c>
      <c r="H4" s="7" t="str">
        <f t="shared" si="6"/>
        <v>X</v>
      </c>
      <c r="I4" s="5">
        <f>J3</f>
        <v>1</v>
      </c>
      <c r="J4" s="4">
        <v>2</v>
      </c>
      <c r="N4" s="9">
        <f t="shared" si="0"/>
        <v>0</v>
      </c>
      <c r="O4" s="5">
        <f t="shared" si="1"/>
        <v>0</v>
      </c>
      <c r="P4" s="4">
        <f t="shared" si="2"/>
        <v>0</v>
      </c>
      <c r="U4" s="36"/>
      <c r="Y4" s="3"/>
      <c r="Z4" s="3"/>
      <c r="AA4" s="3"/>
      <c r="AP4" s="3">
        <v>2</v>
      </c>
      <c r="AQ4" s="3">
        <v>2</v>
      </c>
      <c r="AR4" s="9" t="str">
        <f t="shared" ref="AR4:AX19" si="7">AS3</f>
        <v>X</v>
      </c>
      <c r="AS4" s="7" t="str">
        <f t="shared" si="7"/>
        <v>X</v>
      </c>
      <c r="AT4" s="5" t="str">
        <f t="shared" si="7"/>
        <v>X</v>
      </c>
      <c r="AU4" s="4" t="str">
        <f t="shared" si="7"/>
        <v>X</v>
      </c>
      <c r="AV4" s="9" t="str">
        <f t="shared" si="7"/>
        <v>X</v>
      </c>
      <c r="AW4" s="7" t="str">
        <f t="shared" si="7"/>
        <v>X</v>
      </c>
      <c r="AX4" s="5">
        <f>AY3</f>
        <v>1</v>
      </c>
      <c r="AY4" s="4">
        <v>2</v>
      </c>
      <c r="AZ4" s="9"/>
      <c r="BA4" s="5"/>
      <c r="BB4" s="4"/>
      <c r="BD4" s="9">
        <f t="shared" si="3"/>
        <v>0</v>
      </c>
      <c r="BE4" s="5">
        <f t="shared" si="4"/>
        <v>0</v>
      </c>
      <c r="BF4" s="4">
        <f t="shared" si="5"/>
        <v>0</v>
      </c>
    </row>
    <row r="5" spans="1:80" x14ac:dyDescent="0.25">
      <c r="A5" s="3">
        <v>3</v>
      </c>
      <c r="B5" s="3">
        <v>3</v>
      </c>
      <c r="C5" s="9" t="str">
        <f t="shared" si="6"/>
        <v>X</v>
      </c>
      <c r="D5" s="7" t="str">
        <f t="shared" si="6"/>
        <v>X</v>
      </c>
      <c r="E5" s="5" t="str">
        <f t="shared" si="6"/>
        <v>X</v>
      </c>
      <c r="F5" s="4" t="str">
        <f t="shared" si="6"/>
        <v>X</v>
      </c>
      <c r="G5" s="9" t="str">
        <f t="shared" si="6"/>
        <v>X</v>
      </c>
      <c r="H5" s="7">
        <f t="shared" si="6"/>
        <v>1</v>
      </c>
      <c r="I5" s="5">
        <f t="shared" si="6"/>
        <v>2</v>
      </c>
      <c r="J5" s="4">
        <v>3</v>
      </c>
      <c r="N5" s="9">
        <f t="shared" si="0"/>
        <v>0</v>
      </c>
      <c r="O5" s="5">
        <f t="shared" si="1"/>
        <v>0</v>
      </c>
      <c r="P5" s="4">
        <f t="shared" si="2"/>
        <v>0</v>
      </c>
      <c r="U5" s="36"/>
      <c r="Y5" s="3"/>
      <c r="Z5" s="3"/>
      <c r="AA5" s="3"/>
      <c r="AP5" s="3">
        <v>3</v>
      </c>
      <c r="AQ5" s="3">
        <v>3</v>
      </c>
      <c r="AR5" s="9" t="str">
        <f t="shared" si="7"/>
        <v>X</v>
      </c>
      <c r="AS5" s="7" t="str">
        <f t="shared" si="7"/>
        <v>X</v>
      </c>
      <c r="AT5" s="5" t="str">
        <f t="shared" si="7"/>
        <v>X</v>
      </c>
      <c r="AU5" s="4" t="str">
        <f t="shared" si="7"/>
        <v>X</v>
      </c>
      <c r="AV5" s="9" t="str">
        <f t="shared" si="7"/>
        <v>X</v>
      </c>
      <c r="AW5" s="7">
        <f t="shared" si="7"/>
        <v>1</v>
      </c>
      <c r="AX5" s="5">
        <f t="shared" si="7"/>
        <v>2</v>
      </c>
      <c r="AY5" s="4">
        <v>3</v>
      </c>
      <c r="AZ5" s="9"/>
      <c r="BA5" s="5"/>
      <c r="BB5" s="4"/>
      <c r="BD5" s="9">
        <f t="shared" si="3"/>
        <v>0</v>
      </c>
      <c r="BE5" s="5">
        <f t="shared" si="4"/>
        <v>0</v>
      </c>
      <c r="BF5" s="4">
        <f t="shared" si="5"/>
        <v>0</v>
      </c>
    </row>
    <row r="6" spans="1:80" x14ac:dyDescent="0.25">
      <c r="A6" s="3">
        <v>4</v>
      </c>
      <c r="B6" s="3">
        <v>4</v>
      </c>
      <c r="C6" s="9" t="str">
        <f t="shared" si="6"/>
        <v>X</v>
      </c>
      <c r="D6" s="7" t="str">
        <f t="shared" si="6"/>
        <v>X</v>
      </c>
      <c r="E6" s="5" t="str">
        <f t="shared" si="6"/>
        <v>X</v>
      </c>
      <c r="F6" s="4" t="str">
        <f t="shared" si="6"/>
        <v>X</v>
      </c>
      <c r="G6" s="9">
        <f t="shared" si="6"/>
        <v>1</v>
      </c>
      <c r="H6" s="7">
        <f t="shared" si="6"/>
        <v>2</v>
      </c>
      <c r="I6" s="5">
        <f t="shared" si="6"/>
        <v>3</v>
      </c>
      <c r="J6" s="4">
        <v>4</v>
      </c>
      <c r="N6" s="9">
        <f t="shared" si="0"/>
        <v>0</v>
      </c>
      <c r="O6" s="5">
        <f t="shared" si="1"/>
        <v>0</v>
      </c>
      <c r="P6" s="4">
        <f t="shared" si="2"/>
        <v>0</v>
      </c>
      <c r="Q6" s="3" t="s">
        <v>39</v>
      </c>
      <c r="U6" s="36"/>
      <c r="Y6" s="3"/>
      <c r="Z6" s="3"/>
      <c r="AA6" s="3"/>
      <c r="AP6" s="3">
        <v>4</v>
      </c>
      <c r="AQ6" s="3">
        <v>4</v>
      </c>
      <c r="AR6" s="9" t="str">
        <f t="shared" si="7"/>
        <v>X</v>
      </c>
      <c r="AS6" s="7" t="str">
        <f t="shared" si="7"/>
        <v>X</v>
      </c>
      <c r="AT6" s="5" t="str">
        <f t="shared" si="7"/>
        <v>X</v>
      </c>
      <c r="AU6" s="4" t="str">
        <f t="shared" si="7"/>
        <v>X</v>
      </c>
      <c r="AV6" s="9">
        <f t="shared" si="7"/>
        <v>1</v>
      </c>
      <c r="AW6" s="7">
        <f t="shared" si="7"/>
        <v>2</v>
      </c>
      <c r="AX6" s="5">
        <f t="shared" si="7"/>
        <v>3</v>
      </c>
      <c r="AY6" s="4">
        <v>4</v>
      </c>
      <c r="AZ6" s="9"/>
      <c r="BA6" s="5"/>
      <c r="BB6" s="4"/>
      <c r="BD6" s="9">
        <f t="shared" si="3"/>
        <v>0</v>
      </c>
      <c r="BE6" s="5">
        <f t="shared" si="4"/>
        <v>0</v>
      </c>
      <c r="BF6" s="4">
        <f t="shared" si="5"/>
        <v>0</v>
      </c>
    </row>
    <row r="7" spans="1:80" x14ac:dyDescent="0.25">
      <c r="A7" s="3">
        <v>5</v>
      </c>
      <c r="B7" s="3">
        <v>5</v>
      </c>
      <c r="C7" s="9" t="str">
        <f t="shared" si="6"/>
        <v>X</v>
      </c>
      <c r="D7" s="7" t="str">
        <f t="shared" si="6"/>
        <v>X</v>
      </c>
      <c r="E7" s="5" t="str">
        <f t="shared" si="6"/>
        <v>X</v>
      </c>
      <c r="F7" s="4">
        <f t="shared" si="6"/>
        <v>1</v>
      </c>
      <c r="G7" s="9">
        <f t="shared" si="6"/>
        <v>2</v>
      </c>
      <c r="H7" s="7">
        <f t="shared" si="6"/>
        <v>3</v>
      </c>
      <c r="I7" s="5">
        <f t="shared" si="6"/>
        <v>4</v>
      </c>
      <c r="J7" s="4">
        <v>5</v>
      </c>
      <c r="N7" s="9">
        <f t="shared" si="0"/>
        <v>0</v>
      </c>
      <c r="O7" s="5">
        <f t="shared" si="1"/>
        <v>0</v>
      </c>
      <c r="P7" s="4">
        <f t="shared" si="2"/>
        <v>0</v>
      </c>
      <c r="Q7" s="3" t="s">
        <v>42</v>
      </c>
      <c r="R7" s="3" t="s">
        <v>40</v>
      </c>
      <c r="U7" s="36"/>
      <c r="Y7" s="3"/>
      <c r="Z7" s="3"/>
      <c r="AA7" s="3"/>
      <c r="AP7" s="3">
        <v>5</v>
      </c>
      <c r="AQ7" s="3">
        <v>5</v>
      </c>
      <c r="AR7" s="9" t="str">
        <f t="shared" si="7"/>
        <v>X</v>
      </c>
      <c r="AS7" s="7" t="str">
        <f t="shared" si="7"/>
        <v>X</v>
      </c>
      <c r="AT7" s="5" t="str">
        <f t="shared" si="7"/>
        <v>X</v>
      </c>
      <c r="AU7" s="4">
        <f t="shared" si="7"/>
        <v>1</v>
      </c>
      <c r="AV7" s="9">
        <f t="shared" si="7"/>
        <v>2</v>
      </c>
      <c r="AW7" s="7">
        <f t="shared" si="7"/>
        <v>3</v>
      </c>
      <c r="AX7" s="5">
        <f t="shared" si="7"/>
        <v>4</v>
      </c>
      <c r="AY7" s="4">
        <v>5</v>
      </c>
      <c r="AZ7" s="9"/>
      <c r="BA7" s="5"/>
      <c r="BB7" s="4"/>
      <c r="BD7" s="9">
        <f t="shared" si="3"/>
        <v>0</v>
      </c>
      <c r="BE7" s="5">
        <f t="shared" si="4"/>
        <v>0</v>
      </c>
      <c r="BF7" s="4">
        <f t="shared" si="5"/>
        <v>0</v>
      </c>
    </row>
    <row r="8" spans="1:80" x14ac:dyDescent="0.25">
      <c r="A8" s="3">
        <v>6</v>
      </c>
      <c r="B8" s="3">
        <v>6</v>
      </c>
      <c r="C8" s="9" t="str">
        <f t="shared" si="6"/>
        <v>X</v>
      </c>
      <c r="D8" s="7" t="str">
        <f t="shared" si="6"/>
        <v>X</v>
      </c>
      <c r="E8" s="5">
        <f t="shared" si="6"/>
        <v>1</v>
      </c>
      <c r="F8" s="4">
        <f t="shared" si="6"/>
        <v>2</v>
      </c>
      <c r="G8" s="9">
        <f t="shared" si="6"/>
        <v>3</v>
      </c>
      <c r="H8" s="7">
        <f t="shared" si="6"/>
        <v>4</v>
      </c>
      <c r="I8" s="5">
        <f t="shared" si="6"/>
        <v>5</v>
      </c>
      <c r="J8" s="4">
        <v>6</v>
      </c>
      <c r="N8" s="9">
        <f t="shared" si="0"/>
        <v>0</v>
      </c>
      <c r="O8" s="5">
        <f t="shared" si="1"/>
        <v>0</v>
      </c>
      <c r="P8" s="4">
        <f t="shared" si="2"/>
        <v>0</v>
      </c>
      <c r="R8" s="3" t="s">
        <v>41</v>
      </c>
      <c r="U8" s="36"/>
      <c r="Y8" s="3"/>
      <c r="Z8" s="3"/>
      <c r="AA8" s="3"/>
      <c r="AP8" s="3">
        <v>6</v>
      </c>
      <c r="AQ8" s="3">
        <v>6</v>
      </c>
      <c r="AR8" s="9" t="str">
        <f t="shared" si="7"/>
        <v>X</v>
      </c>
      <c r="AS8" s="7" t="str">
        <f t="shared" si="7"/>
        <v>X</v>
      </c>
      <c r="AT8" s="5">
        <f t="shared" si="7"/>
        <v>1</v>
      </c>
      <c r="AU8" s="4">
        <f t="shared" si="7"/>
        <v>2</v>
      </c>
      <c r="AV8" s="9">
        <f t="shared" si="7"/>
        <v>3</v>
      </c>
      <c r="AW8" s="7">
        <f t="shared" si="7"/>
        <v>4</v>
      </c>
      <c r="AX8" s="5">
        <f t="shared" si="7"/>
        <v>5</v>
      </c>
      <c r="AY8" s="4">
        <v>6</v>
      </c>
      <c r="AZ8" s="9"/>
      <c r="BA8" s="5"/>
      <c r="BB8" s="4"/>
      <c r="BD8" s="9">
        <f t="shared" si="3"/>
        <v>0</v>
      </c>
      <c r="BE8" s="5">
        <f t="shared" si="4"/>
        <v>0</v>
      </c>
      <c r="BF8" s="4">
        <f t="shared" si="5"/>
        <v>0</v>
      </c>
    </row>
    <row r="9" spans="1:80" ht="16.5" thickBot="1" x14ac:dyDescent="0.3">
      <c r="A9" s="3">
        <v>7</v>
      </c>
      <c r="B9" s="3">
        <v>7</v>
      </c>
      <c r="C9" s="9" t="str">
        <f t="shared" si="6"/>
        <v>X</v>
      </c>
      <c r="D9" s="7">
        <f t="shared" si="6"/>
        <v>1</v>
      </c>
      <c r="E9" s="5">
        <f t="shared" si="6"/>
        <v>2</v>
      </c>
      <c r="F9" s="4">
        <f t="shared" si="6"/>
        <v>3</v>
      </c>
      <c r="G9" s="9">
        <f t="shared" si="6"/>
        <v>4</v>
      </c>
      <c r="H9" s="7">
        <f t="shared" si="6"/>
        <v>5</v>
      </c>
      <c r="I9" s="5">
        <f t="shared" si="6"/>
        <v>6</v>
      </c>
      <c r="J9" s="4">
        <v>7</v>
      </c>
      <c r="N9" s="9">
        <f t="shared" si="0"/>
        <v>0</v>
      </c>
      <c r="O9" s="5">
        <f t="shared" si="1"/>
        <v>0</v>
      </c>
      <c r="P9" s="4">
        <f t="shared" si="2"/>
        <v>0</v>
      </c>
      <c r="U9" s="36"/>
      <c r="Y9" s="3"/>
      <c r="Z9" s="3"/>
      <c r="AA9" s="3"/>
      <c r="AP9" s="3">
        <v>7</v>
      </c>
      <c r="AQ9" s="3">
        <v>7</v>
      </c>
      <c r="AR9" s="9" t="str">
        <f t="shared" si="7"/>
        <v>X</v>
      </c>
      <c r="AS9" s="7">
        <f t="shared" si="7"/>
        <v>1</v>
      </c>
      <c r="AT9" s="5">
        <f t="shared" si="7"/>
        <v>2</v>
      </c>
      <c r="AU9" s="4">
        <f t="shared" si="7"/>
        <v>3</v>
      </c>
      <c r="AV9" s="9">
        <f t="shared" si="7"/>
        <v>4</v>
      </c>
      <c r="AW9" s="7">
        <f t="shared" si="7"/>
        <v>5</v>
      </c>
      <c r="AX9" s="5">
        <f t="shared" si="7"/>
        <v>6</v>
      </c>
      <c r="AY9" s="4">
        <v>7</v>
      </c>
      <c r="AZ9" s="9"/>
      <c r="BA9" s="5"/>
      <c r="BB9" s="4"/>
      <c r="BD9" s="9">
        <f t="shared" si="3"/>
        <v>0</v>
      </c>
      <c r="BE9" s="5">
        <f t="shared" si="4"/>
        <v>0</v>
      </c>
      <c r="BF9" s="4">
        <f t="shared" si="5"/>
        <v>0</v>
      </c>
    </row>
    <row r="10" spans="1:80" ht="16.5" thickBot="1" x14ac:dyDescent="0.3">
      <c r="A10" s="3">
        <v>8</v>
      </c>
      <c r="B10" s="11">
        <v>8</v>
      </c>
      <c r="C10" s="12">
        <f t="shared" si="6"/>
        <v>1</v>
      </c>
      <c r="D10" s="13">
        <f t="shared" si="6"/>
        <v>2</v>
      </c>
      <c r="E10" s="14">
        <f t="shared" si="6"/>
        <v>3</v>
      </c>
      <c r="F10" s="15">
        <f t="shared" si="6"/>
        <v>4</v>
      </c>
      <c r="G10" s="12">
        <f t="shared" si="6"/>
        <v>5</v>
      </c>
      <c r="H10" s="13">
        <f t="shared" si="6"/>
        <v>6</v>
      </c>
      <c r="I10" s="14">
        <f t="shared" si="6"/>
        <v>7</v>
      </c>
      <c r="J10" s="16">
        <v>8</v>
      </c>
      <c r="K10" s="9" t="str">
        <f>C10 &amp; "," &amp; D10 &amp; CHAR(10) &amp; G10 &amp; "," &amp; H10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9" t="str">
        <f t="shared" si="0"/>
        <v>1,2
5,6</v>
      </c>
      <c r="O10" s="5" t="str">
        <f t="shared" si="1"/>
        <v>1,3
5,7</v>
      </c>
      <c r="P10" s="4" t="str">
        <f t="shared" si="2"/>
        <v>1,4
5,8</v>
      </c>
      <c r="U10" s="36"/>
      <c r="Y10" s="3"/>
      <c r="Z10" s="3"/>
      <c r="AA10" s="3"/>
      <c r="AD10" s="27" t="s">
        <v>32</v>
      </c>
      <c r="AP10" s="3">
        <v>8</v>
      </c>
      <c r="AQ10" s="11">
        <v>8</v>
      </c>
      <c r="AR10" s="12">
        <f t="shared" si="7"/>
        <v>1</v>
      </c>
      <c r="AS10" s="13">
        <f t="shared" si="7"/>
        <v>2</v>
      </c>
      <c r="AT10" s="14">
        <f t="shared" si="7"/>
        <v>3</v>
      </c>
      <c r="AU10" s="15">
        <f t="shared" si="7"/>
        <v>4</v>
      </c>
      <c r="AV10" s="12">
        <f t="shared" si="7"/>
        <v>5</v>
      </c>
      <c r="AW10" s="13">
        <f t="shared" si="7"/>
        <v>6</v>
      </c>
      <c r="AX10" s="14">
        <f t="shared" si="7"/>
        <v>7</v>
      </c>
      <c r="AY10" s="16">
        <v>8</v>
      </c>
      <c r="AZ10" s="9" t="str">
        <f>AR10 &amp; "," &amp; AS10 &amp; CHAR(10) &amp; AV10 &amp; "," &amp; AW10</f>
        <v>1,2
5,6</v>
      </c>
      <c r="BA10" s="5" t="str">
        <f>AR10 &amp; "," &amp; AT10 &amp; CHAR(10) &amp; AV10 &amp; "," &amp; AX10</f>
        <v>1,3
5,7</v>
      </c>
      <c r="BB10" s="4" t="str">
        <f>AR10 &amp; "," &amp; AU10 &amp; CHAR(10) &amp; AV10 &amp; "," &amp; AY10</f>
        <v>1,4
5,8</v>
      </c>
      <c r="BD10" s="9" t="str">
        <f>N10</f>
        <v>1,2
5,6</v>
      </c>
      <c r="BE10" s="5" t="str">
        <f>O10</f>
        <v>1,3
5,7</v>
      </c>
      <c r="BF10" s="4" t="str">
        <f>P10</f>
        <v>1,4
5,8</v>
      </c>
      <c r="CB10" s="27" t="s">
        <v>32</v>
      </c>
    </row>
    <row r="11" spans="1:80" x14ac:dyDescent="0.25">
      <c r="A11" s="3">
        <v>9</v>
      </c>
      <c r="B11" s="3">
        <v>9</v>
      </c>
      <c r="C11" s="9">
        <f t="shared" si="6"/>
        <v>2</v>
      </c>
      <c r="D11" s="7">
        <f t="shared" si="6"/>
        <v>3</v>
      </c>
      <c r="E11" s="5">
        <f t="shared" si="6"/>
        <v>4</v>
      </c>
      <c r="F11" s="4">
        <f t="shared" si="6"/>
        <v>5</v>
      </c>
      <c r="G11" s="9">
        <f t="shared" si="6"/>
        <v>6</v>
      </c>
      <c r="H11" s="7">
        <f t="shared" si="6"/>
        <v>7</v>
      </c>
      <c r="I11" s="5">
        <f t="shared" si="6"/>
        <v>8</v>
      </c>
      <c r="J11" s="4">
        <v>9</v>
      </c>
      <c r="K11" s="9" t="str">
        <f t="shared" ref="K11:K20" si="8">C11 &amp; "," &amp; D11 &amp; CHAR(10) &amp; G11 &amp; "," &amp; H11</f>
        <v>2,3
6,7</v>
      </c>
      <c r="L11" s="5" t="str">
        <f t="shared" ref="L11:L15" si="9">C11 &amp; "," &amp; E11 &amp; CHAR(10) &amp; G11 &amp; "," &amp; I11</f>
        <v>2,4
6,8</v>
      </c>
      <c r="N11" s="9" t="str">
        <f t="shared" si="0"/>
        <v>2,3
6,7</v>
      </c>
      <c r="O11" s="5" t="str">
        <f t="shared" si="1"/>
        <v>2,4
6,8</v>
      </c>
      <c r="P11" s="4">
        <f t="shared" si="2"/>
        <v>0</v>
      </c>
      <c r="U11" s="36"/>
      <c r="Y11" s="3" t="str">
        <f>N10</f>
        <v>1,2
5,6</v>
      </c>
      <c r="Z11" s="3"/>
      <c r="AA11" s="3"/>
      <c r="AC11" s="3" t="str">
        <f>O10</f>
        <v>1,3
5,7</v>
      </c>
      <c r="AD11" s="27" t="s">
        <v>31</v>
      </c>
      <c r="AP11" s="3">
        <v>9</v>
      </c>
      <c r="AQ11" s="3">
        <v>9</v>
      </c>
      <c r="AR11" s="9">
        <f t="shared" si="7"/>
        <v>2</v>
      </c>
      <c r="AS11" s="7">
        <f t="shared" si="7"/>
        <v>3</v>
      </c>
      <c r="AT11" s="5">
        <f t="shared" si="7"/>
        <v>4</v>
      </c>
      <c r="AU11" s="4">
        <f t="shared" si="7"/>
        <v>5</v>
      </c>
      <c r="AV11" s="9">
        <f t="shared" si="7"/>
        <v>6</v>
      </c>
      <c r="AW11" s="7">
        <f t="shared" si="7"/>
        <v>7</v>
      </c>
      <c r="AX11" s="5">
        <f t="shared" si="7"/>
        <v>8</v>
      </c>
      <c r="AY11" s="4">
        <v>9</v>
      </c>
      <c r="AZ11" s="9" t="str">
        <f t="shared" ref="AZ11:AZ12" si="10">AR11 &amp; "," &amp; AS11 &amp; CHAR(10) &amp; AV11 &amp; "," &amp; AW11</f>
        <v>2,3
6,7</v>
      </c>
      <c r="BA11" s="5" t="str">
        <f t="shared" ref="BA11" si="11">AR11 &amp; "," &amp; AT11 &amp; CHAR(10) &amp; AV11 &amp; "," &amp; AX11</f>
        <v>2,4
6,8</v>
      </c>
      <c r="BB11" s="4"/>
      <c r="BD11" s="9" t="str">
        <f>N11</f>
        <v>2,3
6,7</v>
      </c>
      <c r="BE11" s="5" t="str">
        <f>O11</f>
        <v>2,4
6,8</v>
      </c>
      <c r="BF11" s="4"/>
      <c r="BT11" s="3" t="str">
        <f>BD10</f>
        <v>1,2
5,6</v>
      </c>
      <c r="BU11" s="29" t="str">
        <f>BF10</f>
        <v>1,4
5,8</v>
      </c>
      <c r="CA11" s="3" t="str">
        <f>BE10</f>
        <v>1,3
5,7</v>
      </c>
      <c r="CB11" s="27" t="s">
        <v>31</v>
      </c>
    </row>
    <row r="12" spans="1:80" x14ac:dyDescent="0.25">
      <c r="A12" s="3">
        <v>10</v>
      </c>
      <c r="B12" s="3">
        <v>10</v>
      </c>
      <c r="C12" s="9">
        <f t="shared" si="6"/>
        <v>3</v>
      </c>
      <c r="D12" s="7">
        <f t="shared" si="6"/>
        <v>4</v>
      </c>
      <c r="E12" s="5">
        <f t="shared" si="6"/>
        <v>5</v>
      </c>
      <c r="F12" s="4">
        <f t="shared" si="6"/>
        <v>6</v>
      </c>
      <c r="G12" s="9">
        <f t="shared" si="6"/>
        <v>7</v>
      </c>
      <c r="H12" s="7">
        <f t="shared" si="6"/>
        <v>8</v>
      </c>
      <c r="I12" s="5">
        <f t="shared" si="6"/>
        <v>9</v>
      </c>
      <c r="J12" s="4">
        <v>10</v>
      </c>
      <c r="K12" s="9" t="str">
        <f t="shared" si="8"/>
        <v>3,4
7,8</v>
      </c>
      <c r="N12" s="9" t="str">
        <f t="shared" si="0"/>
        <v>3,4
7,8</v>
      </c>
      <c r="O12" s="5">
        <f t="shared" si="1"/>
        <v>0</v>
      </c>
      <c r="P12" s="4">
        <f t="shared" si="2"/>
        <v>0</v>
      </c>
      <c r="Q12" s="3" t="s">
        <v>39</v>
      </c>
      <c r="S12" s="3">
        <f t="shared" ref="S12:X22" si="12">T11</f>
        <v>0</v>
      </c>
      <c r="T12" s="3">
        <f t="shared" si="12"/>
        <v>0</v>
      </c>
      <c r="U12" s="36">
        <f t="shared" si="12"/>
        <v>0</v>
      </c>
      <c r="V12" s="3">
        <f t="shared" si="12"/>
        <v>0</v>
      </c>
      <c r="W12" s="3">
        <f t="shared" si="12"/>
        <v>0</v>
      </c>
      <c r="X12" s="3" t="str">
        <f t="shared" si="12"/>
        <v>1,2
5,6</v>
      </c>
      <c r="Y12" s="3" t="str">
        <f>N11</f>
        <v>2,3
6,7</v>
      </c>
      <c r="Z12" s="3">
        <f t="shared" ref="Z12:AB16" si="13">AA11</f>
        <v>0</v>
      </c>
      <c r="AA12" s="3">
        <f t="shared" si="13"/>
        <v>0</v>
      </c>
      <c r="AB12" s="3" t="str">
        <f>AC11</f>
        <v>1,3
5,7</v>
      </c>
      <c r="AC12" s="3" t="str">
        <f>O11</f>
        <v>2,4
6,8</v>
      </c>
      <c r="AD12" s="27" t="s">
        <v>30</v>
      </c>
      <c r="AP12" s="3">
        <v>10</v>
      </c>
      <c r="AQ12" s="3">
        <v>10</v>
      </c>
      <c r="AR12" s="9">
        <f t="shared" si="7"/>
        <v>3</v>
      </c>
      <c r="AS12" s="7">
        <f t="shared" si="7"/>
        <v>4</v>
      </c>
      <c r="AT12" s="5">
        <f t="shared" si="7"/>
        <v>5</v>
      </c>
      <c r="AU12" s="4">
        <f t="shared" si="7"/>
        <v>6</v>
      </c>
      <c r="AV12" s="9">
        <f t="shared" si="7"/>
        <v>7</v>
      </c>
      <c r="AW12" s="7">
        <f t="shared" si="7"/>
        <v>8</v>
      </c>
      <c r="AX12" s="5">
        <f t="shared" si="7"/>
        <v>9</v>
      </c>
      <c r="AY12" s="4">
        <v>10</v>
      </c>
      <c r="AZ12" s="9" t="str">
        <f t="shared" si="10"/>
        <v>3,4
7,8</v>
      </c>
      <c r="BA12" s="5"/>
      <c r="BB12" s="4"/>
      <c r="BD12" s="9" t="str">
        <f>N12</f>
        <v>3,4
7,8</v>
      </c>
      <c r="BE12" s="5">
        <f>S12</f>
        <v>0</v>
      </c>
      <c r="BF12" s="4"/>
      <c r="BG12" s="30" t="s">
        <v>37</v>
      </c>
      <c r="BI12" s="30" t="s">
        <v>86</v>
      </c>
      <c r="BK12" s="9" t="s">
        <v>50</v>
      </c>
      <c r="BL12" s="30" t="s">
        <v>37</v>
      </c>
      <c r="BM12" s="3" t="s">
        <v>0</v>
      </c>
      <c r="BR12" s="3">
        <f>BS11</f>
        <v>0</v>
      </c>
      <c r="BS12" s="3" t="str">
        <f>BT11</f>
        <v>1,2
5,6</v>
      </c>
      <c r="BT12" s="3" t="str">
        <f>BD11</f>
        <v>2,3
6,7</v>
      </c>
      <c r="BY12" s="3">
        <f>BZ11</f>
        <v>0</v>
      </c>
      <c r="BZ12" s="3" t="str">
        <f>CA11</f>
        <v>1,3
5,7</v>
      </c>
      <c r="CA12" s="3" t="str">
        <f>BE11</f>
        <v>2,4
6,8</v>
      </c>
      <c r="CB12" s="27" t="s">
        <v>30</v>
      </c>
    </row>
    <row r="13" spans="1:80" x14ac:dyDescent="0.25">
      <c r="A13" s="3">
        <v>11</v>
      </c>
      <c r="B13" s="3">
        <v>11</v>
      </c>
      <c r="C13" s="9">
        <f t="shared" si="6"/>
        <v>4</v>
      </c>
      <c r="D13" s="7">
        <f t="shared" si="6"/>
        <v>5</v>
      </c>
      <c r="E13" s="5">
        <f t="shared" si="6"/>
        <v>6</v>
      </c>
      <c r="F13" s="4">
        <f t="shared" si="6"/>
        <v>7</v>
      </c>
      <c r="G13" s="9">
        <f t="shared" si="6"/>
        <v>8</v>
      </c>
      <c r="H13" s="7">
        <f t="shared" si="6"/>
        <v>9</v>
      </c>
      <c r="I13" s="5">
        <f t="shared" si="6"/>
        <v>10</v>
      </c>
      <c r="J13" s="4">
        <v>11</v>
      </c>
      <c r="K13" s="9" t="s">
        <v>0</v>
      </c>
      <c r="N13" s="9" t="s">
        <v>0</v>
      </c>
      <c r="O13" s="5">
        <f t="shared" ref="O13:O38" si="14">L13</f>
        <v>0</v>
      </c>
      <c r="P13" s="4">
        <f t="shared" ref="P13:P38" si="15">M13</f>
        <v>0</v>
      </c>
      <c r="Q13" s="3" t="s">
        <v>97</v>
      </c>
      <c r="R13" s="3" t="str">
        <f>Q12</f>
        <v>B1temp = 9(2367)-10(1357)</v>
      </c>
      <c r="S13" s="3">
        <f t="shared" si="12"/>
        <v>0</v>
      </c>
      <c r="T13" s="3">
        <f t="shared" si="12"/>
        <v>0</v>
      </c>
      <c r="U13" s="36">
        <f t="shared" si="12"/>
        <v>0</v>
      </c>
      <c r="V13" s="3">
        <f t="shared" si="12"/>
        <v>0</v>
      </c>
      <c r="W13" s="3" t="str">
        <f t="shared" si="12"/>
        <v>1,2
5,6</v>
      </c>
      <c r="X13" s="3" t="str">
        <f t="shared" si="12"/>
        <v>2,3
6,7</v>
      </c>
      <c r="Y13" s="3" t="str">
        <f>N12</f>
        <v>3,4
7,8</v>
      </c>
      <c r="Z13" s="3">
        <f t="shared" si="13"/>
        <v>0</v>
      </c>
      <c r="AA13" s="3">
        <f t="shared" ref="AA13:AC14" si="16">AA12</f>
        <v>0</v>
      </c>
      <c r="AB13" s="3" t="str">
        <f t="shared" si="16"/>
        <v>1,3
5,7</v>
      </c>
      <c r="AC13" s="3" t="str">
        <f t="shared" si="16"/>
        <v>2,4
6,8</v>
      </c>
      <c r="AD13" s="3" t="s">
        <v>29</v>
      </c>
      <c r="AP13" s="3">
        <v>11</v>
      </c>
      <c r="AQ13" s="3">
        <v>11</v>
      </c>
      <c r="AR13" s="9">
        <f t="shared" si="7"/>
        <v>4</v>
      </c>
      <c r="AS13" s="7">
        <f t="shared" si="7"/>
        <v>5</v>
      </c>
      <c r="AT13" s="5">
        <f t="shared" si="7"/>
        <v>6</v>
      </c>
      <c r="AU13" s="4">
        <f t="shared" si="7"/>
        <v>7</v>
      </c>
      <c r="AV13" s="9">
        <f t="shared" si="7"/>
        <v>8</v>
      </c>
      <c r="AW13" s="7">
        <f t="shared" si="7"/>
        <v>9</v>
      </c>
      <c r="AX13" s="5">
        <f t="shared" si="7"/>
        <v>10</v>
      </c>
      <c r="AY13" s="4">
        <v>11</v>
      </c>
      <c r="AZ13" s="9" t="s">
        <v>0</v>
      </c>
      <c r="BA13" s="5"/>
      <c r="BB13" s="4"/>
      <c r="BD13" s="9" t="s">
        <v>0</v>
      </c>
      <c r="BE13" s="5">
        <f>S13</f>
        <v>0</v>
      </c>
      <c r="BF13" s="4"/>
      <c r="BG13" s="9" t="s">
        <v>50</v>
      </c>
      <c r="BH13" s="5" t="s">
        <v>55</v>
      </c>
      <c r="BI13" s="31" t="s">
        <v>85</v>
      </c>
      <c r="BJ13" s="30" t="str">
        <f t="shared" ref="BJ13:BJ20" si="17">BI12</f>
        <v>9(2367)+11(1256)</v>
      </c>
      <c r="BK13" s="9"/>
      <c r="BL13" s="30"/>
      <c r="BR13" s="9" t="str">
        <f>BS12</f>
        <v>1,2
5,6</v>
      </c>
      <c r="BS13" s="9" t="str">
        <f>BT12</f>
        <v>2,3
6,7</v>
      </c>
      <c r="BT13" s="9" t="str">
        <f>BD12</f>
        <v>3,4
7,8</v>
      </c>
      <c r="BY13" s="3">
        <f t="shared" ref="BY13:CA14" si="18">BY12</f>
        <v>0</v>
      </c>
      <c r="BZ13" s="3" t="str">
        <f t="shared" si="18"/>
        <v>1,3
5,7</v>
      </c>
      <c r="CA13" s="3" t="str">
        <f t="shared" si="18"/>
        <v>2,4
6,8</v>
      </c>
      <c r="CB13" s="3" t="s">
        <v>29</v>
      </c>
    </row>
    <row r="14" spans="1:80" x14ac:dyDescent="0.25">
      <c r="A14" s="3">
        <v>12</v>
      </c>
      <c r="B14" s="3">
        <v>12</v>
      </c>
      <c r="C14" s="9">
        <f t="shared" si="6"/>
        <v>5</v>
      </c>
      <c r="D14" s="7">
        <f t="shared" si="6"/>
        <v>6</v>
      </c>
      <c r="E14" s="5">
        <f t="shared" si="6"/>
        <v>7</v>
      </c>
      <c r="F14" s="4">
        <f t="shared" si="6"/>
        <v>8</v>
      </c>
      <c r="G14" s="9">
        <f t="shared" si="6"/>
        <v>9</v>
      </c>
      <c r="H14" s="7">
        <f t="shared" si="6"/>
        <v>10</v>
      </c>
      <c r="I14" s="5">
        <f t="shared" si="6"/>
        <v>11</v>
      </c>
      <c r="J14" s="4">
        <v>12</v>
      </c>
      <c r="K14" s="9" t="str">
        <f t="shared" si="8"/>
        <v>5,6
9,10</v>
      </c>
      <c r="L14" s="5" t="str">
        <f t="shared" si="9"/>
        <v>5,7
9,11</v>
      </c>
      <c r="N14" s="9" t="str">
        <f>K14</f>
        <v>5,6
9,10</v>
      </c>
      <c r="O14" s="5" t="str">
        <f t="shared" si="14"/>
        <v>5,7
9,11</v>
      </c>
      <c r="P14" s="4">
        <f t="shared" si="15"/>
        <v>0</v>
      </c>
      <c r="Q14" s="3" t="s">
        <v>42</v>
      </c>
      <c r="R14" s="3" t="str">
        <f t="shared" ref="R14:R20" si="19">Q13</f>
        <v>B1_temp+11(1256)</v>
      </c>
      <c r="S14" s="3">
        <f t="shared" ref="S14:Y14" si="20">S13</f>
        <v>0</v>
      </c>
      <c r="T14" s="3">
        <f t="shared" si="20"/>
        <v>0</v>
      </c>
      <c r="U14" s="36">
        <f t="shared" si="20"/>
        <v>0</v>
      </c>
      <c r="V14" s="3">
        <f t="shared" si="20"/>
        <v>0</v>
      </c>
      <c r="W14" s="3" t="str">
        <f t="shared" si="20"/>
        <v>1,2
5,6</v>
      </c>
      <c r="X14" s="3" t="str">
        <f t="shared" si="20"/>
        <v>2,3
6,7</v>
      </c>
      <c r="Y14" s="3" t="str">
        <f t="shared" si="20"/>
        <v>3,4
7,8</v>
      </c>
      <c r="Z14" s="3">
        <f t="shared" si="13"/>
        <v>0</v>
      </c>
      <c r="AA14" s="3">
        <f t="shared" si="16"/>
        <v>0</v>
      </c>
      <c r="AB14" s="3" t="str">
        <f t="shared" si="16"/>
        <v>1,3
5,7</v>
      </c>
      <c r="AC14" s="3" t="str">
        <f t="shared" si="16"/>
        <v>2,4
6,8</v>
      </c>
      <c r="AD14" s="27" t="s">
        <v>28</v>
      </c>
      <c r="AP14" s="3">
        <v>12</v>
      </c>
      <c r="AQ14" s="3">
        <v>12</v>
      </c>
      <c r="AR14" s="9">
        <f t="shared" si="7"/>
        <v>5</v>
      </c>
      <c r="AS14" s="7">
        <f t="shared" si="7"/>
        <v>6</v>
      </c>
      <c r="AT14" s="5">
        <f t="shared" si="7"/>
        <v>7</v>
      </c>
      <c r="AU14" s="4">
        <f t="shared" si="7"/>
        <v>8</v>
      </c>
      <c r="AV14" s="9">
        <f t="shared" si="7"/>
        <v>9</v>
      </c>
      <c r="AW14" s="7">
        <f t="shared" si="7"/>
        <v>10</v>
      </c>
      <c r="AX14" s="5">
        <f t="shared" si="7"/>
        <v>11</v>
      </c>
      <c r="AY14" s="4">
        <v>12</v>
      </c>
      <c r="AZ14" s="9" t="str">
        <f t="shared" ref="AZ14:AZ16" si="21">AR14 &amp; "," &amp; AS14 &amp; CHAR(10) &amp; AV14 &amp; "," &amp; AW14</f>
        <v>5,6
9,10</v>
      </c>
      <c r="BA14" s="5" t="str">
        <f t="shared" ref="BA14:BA15" si="22">AR14 &amp; "," &amp; AT14 &amp; CHAR(10) &amp; AV14 &amp; "," &amp; AX14</f>
        <v>5,7
9,11</v>
      </c>
      <c r="BB14" s="4"/>
      <c r="BD14" s="9">
        <f>P14</f>
        <v>0</v>
      </c>
      <c r="BE14" s="5" t="str">
        <f>O14</f>
        <v>5,7
9,11</v>
      </c>
      <c r="BF14" s="4"/>
      <c r="BG14" s="4" t="s">
        <v>51</v>
      </c>
      <c r="BH14" s="9" t="s">
        <v>54</v>
      </c>
      <c r="BI14" s="9" t="s">
        <v>87</v>
      </c>
      <c r="BJ14" s="31" t="str">
        <f t="shared" si="17"/>
        <v>-10*(1357)</v>
      </c>
      <c r="BK14" s="31" t="s">
        <v>63</v>
      </c>
      <c r="BL14" s="30"/>
      <c r="BY14" s="3">
        <f t="shared" si="18"/>
        <v>0</v>
      </c>
      <c r="BZ14" s="3" t="str">
        <f t="shared" si="18"/>
        <v>1,3
5,7</v>
      </c>
      <c r="CA14" s="3" t="str">
        <f t="shared" si="18"/>
        <v>2,4
6,8</v>
      </c>
      <c r="CB14" s="27" t="s">
        <v>28</v>
      </c>
    </row>
    <row r="15" spans="1:80" x14ac:dyDescent="0.25">
      <c r="A15" s="3">
        <v>13</v>
      </c>
      <c r="B15" s="3">
        <v>13</v>
      </c>
      <c r="C15" s="9">
        <f t="shared" si="6"/>
        <v>6</v>
      </c>
      <c r="D15" s="7">
        <f t="shared" si="6"/>
        <v>7</v>
      </c>
      <c r="E15" s="5">
        <f t="shared" si="6"/>
        <v>8</v>
      </c>
      <c r="F15" s="4">
        <f t="shared" si="6"/>
        <v>9</v>
      </c>
      <c r="G15" s="9">
        <f t="shared" si="6"/>
        <v>10</v>
      </c>
      <c r="H15" s="7">
        <f t="shared" si="6"/>
        <v>11</v>
      </c>
      <c r="I15" s="5">
        <f t="shared" si="6"/>
        <v>12</v>
      </c>
      <c r="J15" s="4">
        <v>13</v>
      </c>
      <c r="K15" s="9" t="str">
        <f t="shared" si="8"/>
        <v>6,7
10,11</v>
      </c>
      <c r="L15" s="5" t="str">
        <f t="shared" si="9"/>
        <v>6,8
10,12</v>
      </c>
      <c r="N15" s="9" t="str">
        <f>K15</f>
        <v>6,7
10,11</v>
      </c>
      <c r="O15" s="5" t="str">
        <f t="shared" si="14"/>
        <v>6,8
10,12</v>
      </c>
      <c r="P15" s="4">
        <f t="shared" si="15"/>
        <v>0</v>
      </c>
      <c r="Q15" s="3" t="s">
        <v>98</v>
      </c>
      <c r="R15" s="3" t="str">
        <f t="shared" si="19"/>
        <v>B2_temp = 10(3478)-11(2468)</v>
      </c>
      <c r="S15" s="3">
        <f t="shared" ref="S15:X17" si="23">T14</f>
        <v>0</v>
      </c>
      <c r="T15" s="3">
        <f t="shared" si="23"/>
        <v>0</v>
      </c>
      <c r="U15" s="36">
        <f t="shared" si="23"/>
        <v>0</v>
      </c>
      <c r="V15" s="3" t="str">
        <f t="shared" si="23"/>
        <v>1,2
5,6</v>
      </c>
      <c r="W15" s="3" t="str">
        <f t="shared" si="23"/>
        <v>2,3
6,7</v>
      </c>
      <c r="X15" s="3" t="str">
        <f t="shared" si="23"/>
        <v>3,4
7,8</v>
      </c>
      <c r="Y15" s="3" t="str">
        <f>N14</f>
        <v>5,6
9,10</v>
      </c>
      <c r="Z15" s="3">
        <f t="shared" si="13"/>
        <v>0</v>
      </c>
      <c r="AA15" s="3" t="str">
        <f t="shared" si="13"/>
        <v>1,3
5,7</v>
      </c>
      <c r="AB15" s="3" t="str">
        <f t="shared" si="13"/>
        <v>2,4
6,8</v>
      </c>
      <c r="AC15" s="3" t="str">
        <f>O14</f>
        <v>5,7
9,11</v>
      </c>
      <c r="AD15" s="27" t="s">
        <v>27</v>
      </c>
      <c r="AP15" s="3">
        <v>13</v>
      </c>
      <c r="AQ15" s="3">
        <v>13</v>
      </c>
      <c r="AR15" s="9">
        <f t="shared" si="7"/>
        <v>6</v>
      </c>
      <c r="AS15" s="7">
        <f t="shared" si="7"/>
        <v>7</v>
      </c>
      <c r="AT15" s="5">
        <f t="shared" si="7"/>
        <v>8</v>
      </c>
      <c r="AU15" s="4">
        <f t="shared" si="7"/>
        <v>9</v>
      </c>
      <c r="AV15" s="9">
        <f t="shared" si="7"/>
        <v>10</v>
      </c>
      <c r="AW15" s="7">
        <f t="shared" si="7"/>
        <v>11</v>
      </c>
      <c r="AX15" s="5">
        <f t="shared" si="7"/>
        <v>12</v>
      </c>
      <c r="AY15" s="4">
        <v>13</v>
      </c>
      <c r="AZ15" s="9" t="str">
        <f t="shared" si="21"/>
        <v>6,7
10,11</v>
      </c>
      <c r="BA15" s="5" t="str">
        <f t="shared" si="22"/>
        <v>6,8
10,12</v>
      </c>
      <c r="BB15" s="4"/>
      <c r="BD15" s="9">
        <f>P15</f>
        <v>0</v>
      </c>
      <c r="BE15" s="5" t="str">
        <f>O15</f>
        <v>6,8
10,12</v>
      </c>
      <c r="BF15" s="4"/>
      <c r="BG15" s="32" t="s">
        <v>38</v>
      </c>
      <c r="BH15" s="4" t="s">
        <v>53</v>
      </c>
      <c r="BI15" s="34" t="s">
        <v>88</v>
      </c>
      <c r="BJ15" s="9" t="str">
        <f t="shared" si="17"/>
        <v>9(2468)+12(1256)</v>
      </c>
      <c r="BK15" s="31" t="s">
        <v>63</v>
      </c>
      <c r="BL15" s="31" t="s">
        <v>63</v>
      </c>
      <c r="BY15" s="3" t="str">
        <f>BZ14</f>
        <v>1,3
5,7</v>
      </c>
      <c r="BZ15" s="3" t="str">
        <f>CA14</f>
        <v>2,4
6,8</v>
      </c>
      <c r="CA15" s="3" t="str">
        <f>BE14</f>
        <v>5,7
9,11</v>
      </c>
      <c r="CB15" s="27" t="s">
        <v>27</v>
      </c>
    </row>
    <row r="16" spans="1:80" x14ac:dyDescent="0.25">
      <c r="A16" s="3">
        <v>14</v>
      </c>
      <c r="B16" s="3">
        <v>14</v>
      </c>
      <c r="C16" s="9">
        <f t="shared" si="6"/>
        <v>7</v>
      </c>
      <c r="D16" s="7">
        <f t="shared" si="6"/>
        <v>8</v>
      </c>
      <c r="E16" s="5">
        <f t="shared" si="6"/>
        <v>9</v>
      </c>
      <c r="F16" s="4">
        <f t="shared" si="6"/>
        <v>10</v>
      </c>
      <c r="G16" s="9">
        <f t="shared" si="6"/>
        <v>11</v>
      </c>
      <c r="H16" s="7">
        <f t="shared" si="6"/>
        <v>12</v>
      </c>
      <c r="I16" s="5">
        <f t="shared" si="6"/>
        <v>13</v>
      </c>
      <c r="J16" s="4">
        <v>14</v>
      </c>
      <c r="K16" s="9" t="str">
        <f t="shared" si="8"/>
        <v>7,8
11,12</v>
      </c>
      <c r="N16" s="9" t="str">
        <f>K16</f>
        <v>7,8
11,12</v>
      </c>
      <c r="O16" s="5">
        <f t="shared" si="14"/>
        <v>0</v>
      </c>
      <c r="P16" s="4">
        <f t="shared" si="15"/>
        <v>0</v>
      </c>
      <c r="Q16" s="3" t="s">
        <v>43</v>
      </c>
      <c r="R16" s="3" t="str">
        <f t="shared" si="19"/>
        <v>B2_temp+12(2367)</v>
      </c>
      <c r="S16" s="3">
        <f t="shared" si="23"/>
        <v>0</v>
      </c>
      <c r="T16" s="3">
        <f t="shared" si="23"/>
        <v>0</v>
      </c>
      <c r="U16" s="36" t="str">
        <f t="shared" si="23"/>
        <v>1,2
5,6</v>
      </c>
      <c r="V16" s="3" t="str">
        <f t="shared" si="23"/>
        <v>2,3
6,7</v>
      </c>
      <c r="W16" s="3" t="str">
        <f t="shared" si="23"/>
        <v>3,4
7,8</v>
      </c>
      <c r="X16" s="3" t="str">
        <f t="shared" si="23"/>
        <v>5,6
9,10</v>
      </c>
      <c r="Y16" s="3" t="str">
        <f>N15</f>
        <v>6,7
10,11</v>
      </c>
      <c r="Z16" s="28" t="str">
        <f t="shared" si="13"/>
        <v>1,3
5,7</v>
      </c>
      <c r="AA16" s="28" t="str">
        <f t="shared" si="13"/>
        <v>2,4
6,8</v>
      </c>
      <c r="AB16" s="28" t="str">
        <f t="shared" si="13"/>
        <v>5,7
9,11</v>
      </c>
      <c r="AC16" s="28" t="str">
        <f>O15</f>
        <v>6,8
10,12</v>
      </c>
      <c r="AD16" s="27" t="s">
        <v>26</v>
      </c>
      <c r="AP16" s="3">
        <v>14</v>
      </c>
      <c r="AQ16" s="3">
        <v>14</v>
      </c>
      <c r="AR16" s="9">
        <f t="shared" si="7"/>
        <v>7</v>
      </c>
      <c r="AS16" s="7">
        <f t="shared" si="7"/>
        <v>8</v>
      </c>
      <c r="AT16" s="5">
        <f t="shared" si="7"/>
        <v>9</v>
      </c>
      <c r="AU16" s="4">
        <f t="shared" si="7"/>
        <v>10</v>
      </c>
      <c r="AV16" s="9">
        <f t="shared" si="7"/>
        <v>11</v>
      </c>
      <c r="AW16" s="7">
        <f t="shared" si="7"/>
        <v>12</v>
      </c>
      <c r="AX16" s="5">
        <f t="shared" si="7"/>
        <v>13</v>
      </c>
      <c r="AY16" s="4">
        <v>14</v>
      </c>
      <c r="AZ16" s="9" t="str">
        <f t="shared" si="21"/>
        <v>7,8
11,12</v>
      </c>
      <c r="BA16" s="5"/>
      <c r="BB16" s="4"/>
      <c r="BD16" s="9">
        <f>P16</f>
        <v>0</v>
      </c>
      <c r="BE16" s="5"/>
      <c r="BF16" s="4"/>
      <c r="BG16" s="32"/>
      <c r="BH16" s="33" t="s">
        <v>52</v>
      </c>
      <c r="BI16" s="4" t="s">
        <v>89</v>
      </c>
      <c r="BJ16" s="34" t="str">
        <f t="shared" si="17"/>
        <v>-10(1458)</v>
      </c>
      <c r="BK16" s="9" t="s">
        <v>61</v>
      </c>
      <c r="BL16" s="31" t="s">
        <v>63</v>
      </c>
      <c r="BX16" s="28" t="str">
        <f>BY15</f>
        <v>1,3
5,7</v>
      </c>
      <c r="BY16" s="28" t="str">
        <f>BZ15</f>
        <v>2,4
6,8</v>
      </c>
      <c r="BZ16" s="28" t="str">
        <f>CA15</f>
        <v>5,7
9,11</v>
      </c>
      <c r="CA16" s="28" t="str">
        <f>BE15</f>
        <v>6,8
10,12</v>
      </c>
      <c r="CB16" s="27" t="s">
        <v>26</v>
      </c>
    </row>
    <row r="17" spans="1:80" x14ac:dyDescent="0.25">
      <c r="A17" s="3">
        <v>15</v>
      </c>
      <c r="B17" s="3">
        <v>15</v>
      </c>
      <c r="C17" s="9">
        <f t="shared" si="6"/>
        <v>8</v>
      </c>
      <c r="D17" s="7">
        <f t="shared" si="6"/>
        <v>9</v>
      </c>
      <c r="E17" s="5">
        <f t="shared" si="6"/>
        <v>10</v>
      </c>
      <c r="F17" s="4">
        <f t="shared" si="6"/>
        <v>11</v>
      </c>
      <c r="G17" s="9">
        <f t="shared" si="6"/>
        <v>12</v>
      </c>
      <c r="H17" s="7">
        <f t="shared" si="6"/>
        <v>13</v>
      </c>
      <c r="I17" s="5">
        <f t="shared" si="6"/>
        <v>14</v>
      </c>
      <c r="J17" s="4">
        <v>15</v>
      </c>
      <c r="K17" s="9" t="s">
        <v>0</v>
      </c>
      <c r="N17" s="9" t="s">
        <v>0</v>
      </c>
      <c r="O17" s="5">
        <f t="shared" si="14"/>
        <v>0</v>
      </c>
      <c r="P17" s="4">
        <f t="shared" si="15"/>
        <v>0</v>
      </c>
      <c r="Q17" s="3" t="s">
        <v>99</v>
      </c>
      <c r="R17" s="3" t="str">
        <f t="shared" si="19"/>
        <v>B3_temp = 13*(671011)-14(57911)</v>
      </c>
      <c r="S17" s="3">
        <f t="shared" si="23"/>
        <v>0</v>
      </c>
      <c r="T17" s="9" t="str">
        <f t="shared" si="23"/>
        <v>1,2
5,6</v>
      </c>
      <c r="U17" s="37" t="str">
        <f t="shared" si="23"/>
        <v>2,3
6,7</v>
      </c>
      <c r="V17" s="9" t="str">
        <f t="shared" si="23"/>
        <v>3,4
7,8</v>
      </c>
      <c r="W17" s="9" t="str">
        <f t="shared" si="23"/>
        <v>5,6
9,10</v>
      </c>
      <c r="X17" s="9" t="str">
        <f t="shared" si="23"/>
        <v>6,7
10,11</v>
      </c>
      <c r="Y17" s="9" t="str">
        <f>N16</f>
        <v>7,8
11,12</v>
      </c>
      <c r="Z17" s="3"/>
      <c r="AA17" s="3"/>
      <c r="AD17" s="3" t="s">
        <v>25</v>
      </c>
      <c r="AP17" s="3">
        <v>15</v>
      </c>
      <c r="AQ17" s="3">
        <v>15</v>
      </c>
      <c r="AR17" s="9">
        <f t="shared" si="7"/>
        <v>8</v>
      </c>
      <c r="AS17" s="7">
        <f t="shared" si="7"/>
        <v>9</v>
      </c>
      <c r="AT17" s="5">
        <f t="shared" si="7"/>
        <v>10</v>
      </c>
      <c r="AU17" s="4">
        <f t="shared" si="7"/>
        <v>11</v>
      </c>
      <c r="AV17" s="9">
        <f t="shared" si="7"/>
        <v>12</v>
      </c>
      <c r="AW17" s="7">
        <f t="shared" si="7"/>
        <v>13</v>
      </c>
      <c r="AX17" s="5">
        <f t="shared" si="7"/>
        <v>14</v>
      </c>
      <c r="AY17" s="4">
        <v>15</v>
      </c>
      <c r="AZ17" s="9" t="s">
        <v>0</v>
      </c>
      <c r="BA17" s="5"/>
      <c r="BB17" s="4"/>
      <c r="BD17" s="9" t="s">
        <v>0</v>
      </c>
      <c r="BE17" s="5"/>
      <c r="BF17" s="4"/>
      <c r="BG17" s="32"/>
      <c r="BH17" s="4"/>
      <c r="BI17" s="38" t="s">
        <v>90</v>
      </c>
      <c r="BJ17" s="4" t="str">
        <f t="shared" si="17"/>
        <v>9(3478)+12(1357)</v>
      </c>
      <c r="BK17" s="9" t="s">
        <v>61</v>
      </c>
      <c r="BL17" s="9" t="s">
        <v>65</v>
      </c>
      <c r="CB17" s="3" t="s">
        <v>25</v>
      </c>
    </row>
    <row r="18" spans="1:80" x14ac:dyDescent="0.25">
      <c r="A18" s="3">
        <v>16</v>
      </c>
      <c r="B18" s="3">
        <v>16</v>
      </c>
      <c r="C18" s="9">
        <f t="shared" si="6"/>
        <v>9</v>
      </c>
      <c r="D18" s="7">
        <f t="shared" si="6"/>
        <v>10</v>
      </c>
      <c r="E18" s="5">
        <f t="shared" si="6"/>
        <v>11</v>
      </c>
      <c r="F18" s="4">
        <f t="shared" si="6"/>
        <v>12</v>
      </c>
      <c r="G18" s="9">
        <f t="shared" si="6"/>
        <v>13</v>
      </c>
      <c r="H18" s="7">
        <f t="shared" si="6"/>
        <v>14</v>
      </c>
      <c r="I18" s="5">
        <f t="shared" si="6"/>
        <v>15</v>
      </c>
      <c r="J18" s="4">
        <v>16</v>
      </c>
      <c r="K18" s="9" t="str">
        <f t="shared" si="8"/>
        <v>9,10
13,14</v>
      </c>
      <c r="N18" s="9" t="s">
        <v>0</v>
      </c>
      <c r="O18" s="5">
        <f t="shared" si="14"/>
        <v>0</v>
      </c>
      <c r="P18" s="4">
        <f t="shared" si="15"/>
        <v>0</v>
      </c>
      <c r="Q18" s="3" t="s">
        <v>100</v>
      </c>
      <c r="R18" s="3" t="str">
        <f t="shared" si="19"/>
        <v>B3_temp+15(56910)</v>
      </c>
      <c r="S18" s="3">
        <f t="shared" ref="S18:Y22" si="24">S17</f>
        <v>0</v>
      </c>
      <c r="T18" s="3" t="str">
        <f t="shared" si="24"/>
        <v>1,2
5,6</v>
      </c>
      <c r="U18" s="36" t="str">
        <f t="shared" si="24"/>
        <v>2,3
6,7</v>
      </c>
      <c r="V18" s="3" t="str">
        <f t="shared" si="24"/>
        <v>3,4
7,8</v>
      </c>
      <c r="W18" s="3" t="str">
        <f t="shared" si="24"/>
        <v>5,6
9,10</v>
      </c>
      <c r="X18" s="3" t="str">
        <f t="shared" si="24"/>
        <v>6,7
10,11</v>
      </c>
      <c r="Y18" s="3" t="str">
        <f t="shared" si="24"/>
        <v>7,8
11,12</v>
      </c>
      <c r="Z18" s="3"/>
      <c r="AA18" s="3"/>
      <c r="AD18" s="27" t="s">
        <v>24</v>
      </c>
      <c r="AP18" s="3">
        <v>16</v>
      </c>
      <c r="AQ18" s="3">
        <v>16</v>
      </c>
      <c r="AR18" s="9">
        <f t="shared" si="7"/>
        <v>9</v>
      </c>
      <c r="AS18" s="7">
        <f t="shared" si="7"/>
        <v>10</v>
      </c>
      <c r="AT18" s="5">
        <f t="shared" si="7"/>
        <v>11</v>
      </c>
      <c r="AU18" s="4">
        <f t="shared" si="7"/>
        <v>12</v>
      </c>
      <c r="AV18" s="9">
        <f t="shared" si="7"/>
        <v>13</v>
      </c>
      <c r="AW18" s="7">
        <f t="shared" si="7"/>
        <v>14</v>
      </c>
      <c r="AX18" s="5">
        <f t="shared" si="7"/>
        <v>15</v>
      </c>
      <c r="AY18" s="4">
        <v>16</v>
      </c>
      <c r="AZ18" s="9" t="str">
        <f t="shared" ref="AZ18:AZ20" si="25">AR18 &amp; "," &amp; AS18 &amp; CHAR(10) &amp; AV18 &amp; "," &amp; AW18</f>
        <v>9,10
13,14</v>
      </c>
      <c r="BA18" s="5"/>
      <c r="BB18" s="4"/>
      <c r="BD18" s="9" t="s">
        <v>0</v>
      </c>
      <c r="BE18" s="5"/>
      <c r="BF18" s="4"/>
      <c r="BG18" s="32"/>
      <c r="BH18" s="4"/>
      <c r="BI18" s="32" t="s">
        <v>91</v>
      </c>
      <c r="BJ18" s="4" t="str">
        <f t="shared" si="17"/>
        <v>-11(1458)</v>
      </c>
      <c r="BK18" s="4" t="s">
        <v>62</v>
      </c>
      <c r="BL18" s="9" t="s">
        <v>65</v>
      </c>
      <c r="CB18" s="27" t="s">
        <v>24</v>
      </c>
    </row>
    <row r="19" spans="1:80" x14ac:dyDescent="0.25">
      <c r="A19" s="3">
        <v>17</v>
      </c>
      <c r="B19" s="3" t="s">
        <v>10</v>
      </c>
      <c r="C19" s="9">
        <f t="shared" si="6"/>
        <v>10</v>
      </c>
      <c r="D19" s="7">
        <f t="shared" si="6"/>
        <v>11</v>
      </c>
      <c r="E19" s="5">
        <f t="shared" si="6"/>
        <v>12</v>
      </c>
      <c r="F19" s="4">
        <f t="shared" si="6"/>
        <v>13</v>
      </c>
      <c r="G19" s="9">
        <f t="shared" si="6"/>
        <v>14</v>
      </c>
      <c r="H19" s="7">
        <f t="shared" si="6"/>
        <v>15</v>
      </c>
      <c r="I19" s="5">
        <f t="shared" si="6"/>
        <v>16</v>
      </c>
      <c r="J19" s="4">
        <v>0</v>
      </c>
      <c r="K19" s="9" t="str">
        <f t="shared" si="8"/>
        <v>10,11
14,15</v>
      </c>
      <c r="N19" s="9" t="s">
        <v>0</v>
      </c>
      <c r="O19" s="5">
        <f t="shared" si="14"/>
        <v>0</v>
      </c>
      <c r="P19" s="4">
        <f t="shared" si="15"/>
        <v>0</v>
      </c>
      <c r="Q19" s="3" t="s">
        <v>101</v>
      </c>
      <c r="R19" s="3" t="str">
        <f t="shared" si="19"/>
        <v>B4_temp = 14*(781112) -15(681012)</v>
      </c>
      <c r="S19" s="3" t="str">
        <f t="shared" si="12"/>
        <v>1,2
5,6</v>
      </c>
      <c r="T19" s="3" t="str">
        <f>U18</f>
        <v>2,3
6,7</v>
      </c>
      <c r="U19" s="36" t="str">
        <f t="shared" si="12"/>
        <v>3,4
7,8</v>
      </c>
      <c r="V19" s="3" t="str">
        <f t="shared" si="12"/>
        <v>5,6
9,10</v>
      </c>
      <c r="W19" s="3" t="str">
        <f t="shared" si="12"/>
        <v>6,7
10,11</v>
      </c>
      <c r="X19" s="3" t="str">
        <f t="shared" si="12"/>
        <v>7,8
11,12</v>
      </c>
      <c r="Y19" s="3" t="str">
        <f t="shared" si="24"/>
        <v>7,8
11,12</v>
      </c>
      <c r="Z19" s="3"/>
      <c r="AA19" s="3"/>
      <c r="AD19" s="27"/>
      <c r="AP19" s="3">
        <v>17</v>
      </c>
      <c r="AQ19" s="3" t="s">
        <v>10</v>
      </c>
      <c r="AR19" s="9">
        <f t="shared" si="7"/>
        <v>10</v>
      </c>
      <c r="AS19" s="7">
        <f t="shared" si="7"/>
        <v>11</v>
      </c>
      <c r="AT19" s="5">
        <f t="shared" si="7"/>
        <v>12</v>
      </c>
      <c r="AU19" s="4">
        <f t="shared" si="7"/>
        <v>13</v>
      </c>
      <c r="AV19" s="9">
        <f t="shared" si="7"/>
        <v>14</v>
      </c>
      <c r="AW19" s="7">
        <f t="shared" si="7"/>
        <v>15</v>
      </c>
      <c r="AX19" s="5">
        <f t="shared" si="7"/>
        <v>16</v>
      </c>
      <c r="AY19" s="4">
        <v>0</v>
      </c>
      <c r="AZ19" s="9" t="str">
        <f t="shared" si="25"/>
        <v>10,11
14,15</v>
      </c>
      <c r="BA19" s="5"/>
      <c r="BB19" s="4"/>
      <c r="BD19" s="9" t="s">
        <v>0</v>
      </c>
      <c r="BE19" s="5"/>
      <c r="BF19" s="4"/>
      <c r="BG19" s="32"/>
      <c r="BH19" s="4"/>
      <c r="BI19" s="33" t="s">
        <v>92</v>
      </c>
      <c r="BJ19" s="32" t="str">
        <f t="shared" si="17"/>
        <v>10(3478)+12(2367)</v>
      </c>
      <c r="BK19" s="4" t="s">
        <v>62</v>
      </c>
      <c r="BL19" s="4" t="s">
        <v>66</v>
      </c>
      <c r="BZ19" s="27"/>
    </row>
    <row r="20" spans="1:80" x14ac:dyDescent="0.25">
      <c r="A20" s="3">
        <v>18</v>
      </c>
      <c r="B20" s="3" t="s">
        <v>10</v>
      </c>
      <c r="C20" s="9">
        <f t="shared" ref="C20:I20" si="26">D19</f>
        <v>11</v>
      </c>
      <c r="D20" s="7">
        <f t="shared" si="26"/>
        <v>12</v>
      </c>
      <c r="E20" s="5">
        <f t="shared" si="26"/>
        <v>13</v>
      </c>
      <c r="F20" s="4">
        <f t="shared" si="26"/>
        <v>14</v>
      </c>
      <c r="G20" s="9">
        <f t="shared" si="26"/>
        <v>15</v>
      </c>
      <c r="H20" s="7">
        <f t="shared" si="26"/>
        <v>16</v>
      </c>
      <c r="I20" s="5">
        <f t="shared" si="26"/>
        <v>0</v>
      </c>
      <c r="J20" s="4">
        <v>0</v>
      </c>
      <c r="K20" s="9" t="str">
        <f t="shared" si="8"/>
        <v>11,12
15,16</v>
      </c>
      <c r="N20" s="9" t="s">
        <v>0</v>
      </c>
      <c r="O20" s="5">
        <f t="shared" si="14"/>
        <v>0</v>
      </c>
      <c r="P20" s="4">
        <f t="shared" si="15"/>
        <v>0</v>
      </c>
      <c r="R20" s="3" t="str">
        <f t="shared" si="19"/>
        <v>B4_temp+16(671011)</v>
      </c>
      <c r="S20" s="3" t="str">
        <f t="shared" si="12"/>
        <v>2,3
6,7</v>
      </c>
      <c r="T20" s="3" t="str">
        <f t="shared" si="12"/>
        <v>3,4
7,8</v>
      </c>
      <c r="U20" s="36" t="str">
        <f t="shared" si="12"/>
        <v>5,6
9,10</v>
      </c>
      <c r="V20" s="3" t="str">
        <f t="shared" si="12"/>
        <v>6,7
10,11</v>
      </c>
      <c r="W20" s="3" t="str">
        <f t="shared" si="12"/>
        <v>7,8
11,12</v>
      </c>
      <c r="X20" s="3" t="str">
        <f t="shared" si="12"/>
        <v>7,8
11,12</v>
      </c>
      <c r="Y20" s="3" t="str">
        <f t="shared" si="24"/>
        <v>7,8
11,12</v>
      </c>
      <c r="Z20" s="3"/>
      <c r="AA20" s="3"/>
      <c r="AP20" s="3">
        <v>18</v>
      </c>
      <c r="AQ20" s="3" t="s">
        <v>10</v>
      </c>
      <c r="AR20" s="9">
        <f t="shared" ref="AR20:AX20" si="27">AS19</f>
        <v>11</v>
      </c>
      <c r="AS20" s="7">
        <f t="shared" si="27"/>
        <v>12</v>
      </c>
      <c r="AT20" s="5">
        <f t="shared" si="27"/>
        <v>13</v>
      </c>
      <c r="AU20" s="4">
        <f t="shared" si="27"/>
        <v>14</v>
      </c>
      <c r="AV20" s="9">
        <f t="shared" si="27"/>
        <v>15</v>
      </c>
      <c r="AW20" s="7">
        <f t="shared" si="27"/>
        <v>16</v>
      </c>
      <c r="AX20" s="5">
        <f t="shared" si="27"/>
        <v>0</v>
      </c>
      <c r="AY20" s="4">
        <v>0</v>
      </c>
      <c r="AZ20" s="9" t="str">
        <f t="shared" si="25"/>
        <v>11,12
15,16</v>
      </c>
      <c r="BA20" s="5"/>
      <c r="BB20" s="4"/>
      <c r="BD20" s="9" t="s">
        <v>0</v>
      </c>
      <c r="BE20" s="5"/>
      <c r="BF20" s="4"/>
      <c r="BG20" s="32"/>
      <c r="BH20" s="4"/>
      <c r="BI20" s="32"/>
      <c r="BJ20" s="35" t="str">
        <f t="shared" si="17"/>
        <v>-11(2468)</v>
      </c>
      <c r="BK20" s="35" t="s">
        <v>64</v>
      </c>
      <c r="BL20" s="4" t="s">
        <v>66</v>
      </c>
    </row>
    <row r="21" spans="1:80" x14ac:dyDescent="0.25">
      <c r="A21" s="3">
        <v>19</v>
      </c>
      <c r="C21" s="9" t="s">
        <v>0</v>
      </c>
      <c r="N21" s="9">
        <f t="shared" ref="N21:N38" si="28">K21</f>
        <v>0</v>
      </c>
      <c r="O21" s="5">
        <f t="shared" si="14"/>
        <v>0</v>
      </c>
      <c r="P21" s="4">
        <f t="shared" si="15"/>
        <v>0</v>
      </c>
      <c r="S21" s="3" t="str">
        <f t="shared" si="12"/>
        <v>3,4
7,8</v>
      </c>
      <c r="T21" s="3" t="str">
        <f t="shared" si="12"/>
        <v>5,6
9,10</v>
      </c>
      <c r="U21" s="36" t="str">
        <f t="shared" si="12"/>
        <v>6,7
10,11</v>
      </c>
      <c r="V21" s="3" t="str">
        <f t="shared" si="12"/>
        <v>7,8
11,12</v>
      </c>
      <c r="W21" s="3" t="str">
        <f t="shared" si="12"/>
        <v>7,8
11,12</v>
      </c>
      <c r="X21" s="3" t="str">
        <f t="shared" si="12"/>
        <v>7,8
11,12</v>
      </c>
      <c r="Y21" s="3" t="str">
        <f t="shared" si="24"/>
        <v>7,8
11,12</v>
      </c>
      <c r="Z21" s="3"/>
      <c r="AA21" s="3"/>
      <c r="AP21" s="3">
        <v>19</v>
      </c>
      <c r="AR21" s="9" t="s">
        <v>0</v>
      </c>
      <c r="AS21" s="7"/>
      <c r="AT21" s="5"/>
      <c r="AU21" s="4"/>
      <c r="AV21" s="9"/>
      <c r="AW21" s="7"/>
      <c r="AX21" s="5"/>
      <c r="AY21" s="4"/>
      <c r="AZ21" s="9"/>
      <c r="BA21" s="5"/>
      <c r="BB21" s="4"/>
      <c r="BD21" s="9">
        <f t="shared" ref="BD21:BD38" si="29">P21</f>
        <v>0</v>
      </c>
      <c r="BE21" s="5"/>
      <c r="BF21" s="4"/>
      <c r="BG21" s="32"/>
      <c r="BH21" s="4"/>
      <c r="BI21" s="32"/>
      <c r="BJ21" s="4"/>
      <c r="BK21" s="35" t="s">
        <v>64</v>
      </c>
      <c r="BL21" s="35" t="s">
        <v>67</v>
      </c>
      <c r="BM21" s="3" t="s">
        <v>70</v>
      </c>
    </row>
    <row r="22" spans="1:80" x14ac:dyDescent="0.25">
      <c r="A22" s="3">
        <v>20</v>
      </c>
      <c r="N22" s="9">
        <f t="shared" si="28"/>
        <v>0</v>
      </c>
      <c r="O22" s="5">
        <f t="shared" si="14"/>
        <v>0</v>
      </c>
      <c r="P22" s="4">
        <f t="shared" si="15"/>
        <v>0</v>
      </c>
      <c r="S22" s="3" t="str">
        <f t="shared" si="12"/>
        <v>5,6
9,10</v>
      </c>
      <c r="T22" s="3" t="str">
        <f t="shared" si="12"/>
        <v>6,7
10,11</v>
      </c>
      <c r="U22" s="36" t="str">
        <f t="shared" si="12"/>
        <v>7,8
11,12</v>
      </c>
      <c r="V22" s="3" t="str">
        <f t="shared" si="12"/>
        <v>7,8
11,12</v>
      </c>
      <c r="W22" s="3" t="str">
        <f t="shared" si="12"/>
        <v>7,8
11,12</v>
      </c>
      <c r="X22" s="3" t="str">
        <f t="shared" si="12"/>
        <v>7,8
11,12</v>
      </c>
      <c r="Y22" s="3" t="str">
        <f t="shared" si="24"/>
        <v>7,8
11,12</v>
      </c>
      <c r="Z22" s="3"/>
      <c r="AA22" s="3"/>
      <c r="AP22" s="3">
        <v>20</v>
      </c>
      <c r="AR22" s="9"/>
      <c r="AS22" s="7"/>
      <c r="AT22" s="5"/>
      <c r="AU22" s="4"/>
      <c r="AV22" s="9"/>
      <c r="AW22" s="7"/>
      <c r="AX22" s="5"/>
      <c r="AY22" s="4"/>
      <c r="AZ22" s="9"/>
      <c r="BA22" s="5"/>
      <c r="BB22" s="4"/>
      <c r="BD22" s="9">
        <f t="shared" si="29"/>
        <v>0</v>
      </c>
      <c r="BE22" s="5"/>
      <c r="BF22" s="4"/>
      <c r="BG22" s="32"/>
      <c r="BH22" s="4"/>
      <c r="BI22" s="32"/>
      <c r="BJ22" s="4"/>
      <c r="BL22" s="35" t="s">
        <v>67</v>
      </c>
    </row>
    <row r="23" spans="1:80" x14ac:dyDescent="0.25">
      <c r="A23" s="3">
        <v>21</v>
      </c>
      <c r="N23" s="9">
        <f t="shared" si="28"/>
        <v>0</v>
      </c>
      <c r="O23" s="5">
        <f t="shared" si="14"/>
        <v>0</v>
      </c>
      <c r="P23" s="4">
        <f t="shared" si="15"/>
        <v>0</v>
      </c>
      <c r="Y23" s="3"/>
      <c r="Z23" s="3"/>
      <c r="AA23" s="3"/>
      <c r="AP23" s="3">
        <v>21</v>
      </c>
      <c r="AR23" s="9"/>
      <c r="AS23" s="7"/>
      <c r="AT23" s="5"/>
      <c r="AU23" s="4"/>
      <c r="AV23" s="9"/>
      <c r="AW23" s="7"/>
      <c r="AX23" s="5"/>
      <c r="AY23" s="4"/>
      <c r="AZ23" s="9"/>
      <c r="BA23" s="5"/>
      <c r="BB23" s="4"/>
      <c r="BD23" s="9">
        <f t="shared" si="29"/>
        <v>0</v>
      </c>
      <c r="BE23" s="5"/>
      <c r="BF23" s="4"/>
      <c r="BG23" s="32"/>
      <c r="BH23" s="4"/>
      <c r="BI23" s="32"/>
      <c r="BJ23" s="4"/>
      <c r="BK23" s="9"/>
    </row>
    <row r="24" spans="1:80" x14ac:dyDescent="0.25">
      <c r="A24" s="3">
        <v>22</v>
      </c>
      <c r="N24" s="9">
        <f t="shared" si="28"/>
        <v>0</v>
      </c>
      <c r="O24" s="5">
        <f t="shared" si="14"/>
        <v>0</v>
      </c>
      <c r="P24" s="4">
        <f t="shared" si="15"/>
        <v>0</v>
      </c>
      <c r="Q24" s="3" t="s">
        <v>47</v>
      </c>
      <c r="R24" s="3" t="s">
        <v>48</v>
      </c>
      <c r="Y24" s="3"/>
      <c r="Z24" s="3"/>
      <c r="AA24" s="3"/>
      <c r="AP24" s="3">
        <v>22</v>
      </c>
      <c r="AR24" s="9"/>
      <c r="AS24" s="7"/>
      <c r="AT24" s="5"/>
      <c r="AU24" s="4"/>
      <c r="AV24" s="9"/>
      <c r="AW24" s="7"/>
      <c r="AX24" s="5"/>
      <c r="AY24" s="4"/>
      <c r="AZ24" s="9"/>
      <c r="BA24" s="5"/>
      <c r="BB24" s="4"/>
      <c r="BD24" s="9">
        <f t="shared" si="29"/>
        <v>0</v>
      </c>
      <c r="BE24" s="5"/>
      <c r="BF24" s="4"/>
      <c r="BG24" s="32"/>
      <c r="BH24" s="4"/>
      <c r="BI24" s="32"/>
      <c r="BJ24" s="4"/>
      <c r="BK24" s="9"/>
      <c r="BL24" s="30"/>
    </row>
    <row r="25" spans="1:80" x14ac:dyDescent="0.25">
      <c r="A25" s="3">
        <v>23</v>
      </c>
      <c r="N25" s="9">
        <f t="shared" si="28"/>
        <v>0</v>
      </c>
      <c r="O25" s="5">
        <f t="shared" si="14"/>
        <v>0</v>
      </c>
      <c r="P25" s="4">
        <f t="shared" si="15"/>
        <v>0</v>
      </c>
      <c r="Q25" s="3">
        <v>31</v>
      </c>
      <c r="Y25" s="3"/>
      <c r="Z25" s="3"/>
      <c r="AA25" s="3"/>
      <c r="AP25" s="3">
        <v>23</v>
      </c>
      <c r="AR25" s="9"/>
      <c r="AS25" s="7"/>
      <c r="AT25" s="5"/>
      <c r="AU25" s="4"/>
      <c r="AV25" s="9"/>
      <c r="AW25" s="7"/>
      <c r="AX25" s="5"/>
      <c r="AY25" s="4"/>
      <c r="AZ25" s="9"/>
      <c r="BA25" s="5"/>
      <c r="BB25" s="4"/>
      <c r="BD25" s="9">
        <f t="shared" si="29"/>
        <v>0</v>
      </c>
      <c r="BE25" s="5"/>
      <c r="BF25" s="4"/>
      <c r="BG25" s="32"/>
      <c r="BH25" s="4"/>
      <c r="BI25" s="32"/>
      <c r="BJ25" s="4"/>
      <c r="BK25" s="9"/>
      <c r="BL25" s="30"/>
    </row>
    <row r="26" spans="1:80" x14ac:dyDescent="0.25">
      <c r="A26" s="3">
        <v>24</v>
      </c>
      <c r="N26" s="9">
        <f t="shared" si="28"/>
        <v>0</v>
      </c>
      <c r="O26" s="5">
        <f t="shared" si="14"/>
        <v>0</v>
      </c>
      <c r="P26" s="4">
        <f t="shared" si="15"/>
        <v>0</v>
      </c>
      <c r="Y26" s="3"/>
      <c r="Z26" s="3"/>
      <c r="AA26" s="3"/>
      <c r="AP26" s="3">
        <v>24</v>
      </c>
      <c r="AR26" s="9"/>
      <c r="AS26" s="7"/>
      <c r="AT26" s="5"/>
      <c r="AU26" s="4"/>
      <c r="AV26" s="9"/>
      <c r="AW26" s="7"/>
      <c r="AX26" s="5"/>
      <c r="AY26" s="4"/>
      <c r="AZ26" s="9"/>
      <c r="BA26" s="5"/>
      <c r="BB26" s="4"/>
      <c r="BD26" s="9">
        <f t="shared" si="29"/>
        <v>0</v>
      </c>
      <c r="BE26" s="5"/>
      <c r="BF26" s="4"/>
      <c r="BG26" s="32"/>
      <c r="BH26" s="4"/>
      <c r="BI26" s="32"/>
      <c r="BJ26" s="4"/>
    </row>
    <row r="27" spans="1:80" x14ac:dyDescent="0.25">
      <c r="A27" s="3">
        <v>25</v>
      </c>
      <c r="N27" s="9">
        <f t="shared" si="28"/>
        <v>0</v>
      </c>
      <c r="O27" s="5">
        <f t="shared" si="14"/>
        <v>0</v>
      </c>
      <c r="P27" s="4">
        <f t="shared" si="15"/>
        <v>0</v>
      </c>
      <c r="Y27" s="3"/>
      <c r="Z27" s="3"/>
      <c r="AA27" s="3"/>
      <c r="AP27" s="3">
        <v>25</v>
      </c>
      <c r="AR27" s="9"/>
      <c r="AS27" s="7"/>
      <c r="AT27" s="5"/>
      <c r="AU27" s="4"/>
      <c r="AV27" s="9"/>
      <c r="AW27" s="7"/>
      <c r="AX27" s="5"/>
      <c r="AY27" s="4"/>
      <c r="AZ27" s="9"/>
      <c r="BA27" s="5"/>
      <c r="BB27" s="4"/>
      <c r="BD27" s="9">
        <f t="shared" si="29"/>
        <v>0</v>
      </c>
      <c r="BE27" s="5"/>
      <c r="BF27" s="4"/>
      <c r="BG27" s="32"/>
      <c r="BH27" s="4"/>
      <c r="BI27" s="32"/>
      <c r="BJ27" s="4"/>
    </row>
    <row r="28" spans="1:80" x14ac:dyDescent="0.25">
      <c r="A28" s="3">
        <v>26</v>
      </c>
      <c r="N28" s="9">
        <f t="shared" si="28"/>
        <v>0</v>
      </c>
      <c r="O28" s="5">
        <f t="shared" si="14"/>
        <v>0</v>
      </c>
      <c r="P28" s="4">
        <f t="shared" si="15"/>
        <v>0</v>
      </c>
      <c r="Y28" s="3"/>
      <c r="Z28" s="3"/>
      <c r="AA28" s="3"/>
      <c r="AP28" s="3">
        <v>26</v>
      </c>
      <c r="AR28" s="9"/>
      <c r="AS28" s="7"/>
      <c r="AT28" s="5"/>
      <c r="AU28" s="4"/>
      <c r="AV28" s="9"/>
      <c r="AW28" s="7"/>
      <c r="AX28" s="5"/>
      <c r="AY28" s="4"/>
      <c r="AZ28" s="9"/>
      <c r="BA28" s="5"/>
      <c r="BB28" s="4"/>
      <c r="BD28" s="9">
        <f t="shared" si="29"/>
        <v>0</v>
      </c>
      <c r="BE28" s="5"/>
      <c r="BF28" s="4"/>
      <c r="BG28" s="32"/>
      <c r="BH28" s="4"/>
      <c r="BI28" s="32"/>
      <c r="BJ28" s="4"/>
    </row>
    <row r="29" spans="1:80" x14ac:dyDescent="0.25">
      <c r="A29" s="3">
        <v>27</v>
      </c>
      <c r="N29" s="9">
        <f t="shared" si="28"/>
        <v>0</v>
      </c>
      <c r="O29" s="5">
        <f t="shared" si="14"/>
        <v>0</v>
      </c>
      <c r="P29" s="4">
        <f t="shared" si="15"/>
        <v>0</v>
      </c>
      <c r="Y29" s="3"/>
      <c r="Z29" s="3"/>
      <c r="AA29" s="3"/>
      <c r="AP29" s="3">
        <v>27</v>
      </c>
      <c r="AR29" s="9"/>
      <c r="AS29" s="7"/>
      <c r="AT29" s="5"/>
      <c r="AU29" s="4"/>
      <c r="AV29" s="9"/>
      <c r="AW29" s="7"/>
      <c r="AX29" s="5"/>
      <c r="AY29" s="4"/>
      <c r="AZ29" s="9"/>
      <c r="BA29" s="5"/>
      <c r="BB29" s="4"/>
      <c r="BD29" s="9">
        <f t="shared" si="29"/>
        <v>0</v>
      </c>
      <c r="BE29" s="5"/>
      <c r="BF29" s="4"/>
      <c r="BG29" s="32"/>
      <c r="BH29" s="4"/>
      <c r="BI29" s="32"/>
      <c r="BJ29" s="4"/>
    </row>
    <row r="30" spans="1:80" x14ac:dyDescent="0.25">
      <c r="A30" s="3">
        <v>28</v>
      </c>
      <c r="N30" s="9">
        <f t="shared" si="28"/>
        <v>0</v>
      </c>
      <c r="O30" s="5">
        <f t="shared" si="14"/>
        <v>0</v>
      </c>
      <c r="P30" s="4">
        <f t="shared" si="15"/>
        <v>0</v>
      </c>
      <c r="Y30" s="3"/>
      <c r="Z30" s="3"/>
      <c r="AA30" s="3"/>
      <c r="AP30" s="3">
        <v>28</v>
      </c>
      <c r="AR30" s="9"/>
      <c r="AS30" s="7"/>
      <c r="AT30" s="5"/>
      <c r="AU30" s="4"/>
      <c r="AV30" s="9"/>
      <c r="AW30" s="7"/>
      <c r="AX30" s="5"/>
      <c r="AY30" s="4"/>
      <c r="AZ30" s="9"/>
      <c r="BA30" s="5"/>
      <c r="BB30" s="4"/>
      <c r="BD30" s="9">
        <f t="shared" si="29"/>
        <v>0</v>
      </c>
      <c r="BE30" s="5"/>
      <c r="BF30" s="4"/>
      <c r="BG30" s="32"/>
      <c r="BH30" s="4"/>
      <c r="BI30" s="32"/>
      <c r="BJ30" s="4"/>
    </row>
    <row r="31" spans="1:80" x14ac:dyDescent="0.25">
      <c r="A31" s="3">
        <v>29</v>
      </c>
      <c r="N31" s="9">
        <f t="shared" si="28"/>
        <v>0</v>
      </c>
      <c r="O31" s="5">
        <f t="shared" si="14"/>
        <v>0</v>
      </c>
      <c r="P31" s="4">
        <f t="shared" si="15"/>
        <v>0</v>
      </c>
      <c r="Y31" s="3"/>
      <c r="Z31" s="3"/>
      <c r="AA31" s="3"/>
      <c r="AP31" s="3">
        <v>29</v>
      </c>
      <c r="AR31" s="9"/>
      <c r="AS31" s="7"/>
      <c r="AT31" s="5"/>
      <c r="AU31" s="4"/>
      <c r="AV31" s="9"/>
      <c r="AW31" s="7"/>
      <c r="AX31" s="5"/>
      <c r="AY31" s="4"/>
      <c r="AZ31" s="9"/>
      <c r="BA31" s="5"/>
      <c r="BB31" s="4"/>
      <c r="BD31" s="9">
        <f t="shared" si="29"/>
        <v>0</v>
      </c>
      <c r="BE31" s="5"/>
      <c r="BF31" s="4"/>
    </row>
    <row r="32" spans="1:80" x14ac:dyDescent="0.25">
      <c r="A32" s="3">
        <v>30</v>
      </c>
      <c r="N32" s="9">
        <f t="shared" si="28"/>
        <v>0</v>
      </c>
      <c r="O32" s="5">
        <f t="shared" si="14"/>
        <v>0</v>
      </c>
      <c r="P32" s="4">
        <f t="shared" si="15"/>
        <v>0</v>
      </c>
      <c r="Y32" s="3"/>
      <c r="Z32" s="3"/>
      <c r="AA32" s="3"/>
      <c r="AP32" s="3">
        <v>30</v>
      </c>
      <c r="AR32" s="9"/>
      <c r="AS32" s="7"/>
      <c r="AT32" s="5"/>
      <c r="AU32" s="4"/>
      <c r="AV32" s="9"/>
      <c r="AW32" s="7"/>
      <c r="AX32" s="5"/>
      <c r="AY32" s="4"/>
      <c r="AZ32" s="9"/>
      <c r="BA32" s="5"/>
      <c r="BB32" s="4"/>
      <c r="BD32" s="9">
        <f t="shared" si="29"/>
        <v>0</v>
      </c>
      <c r="BE32" s="5"/>
      <c r="BF32" s="4"/>
    </row>
    <row r="33" spans="1:58" x14ac:dyDescent="0.25">
      <c r="A33" s="3">
        <v>31</v>
      </c>
      <c r="N33" s="9">
        <f t="shared" si="28"/>
        <v>0</v>
      </c>
      <c r="O33" s="5">
        <f t="shared" si="14"/>
        <v>0</v>
      </c>
      <c r="P33" s="4">
        <f t="shared" si="15"/>
        <v>0</v>
      </c>
      <c r="Y33" s="3"/>
      <c r="Z33" s="3"/>
      <c r="AA33" s="3"/>
      <c r="AP33" s="3">
        <v>31</v>
      </c>
      <c r="AR33" s="9"/>
      <c r="AS33" s="7"/>
      <c r="AT33" s="5"/>
      <c r="AU33" s="4"/>
      <c r="AV33" s="9"/>
      <c r="AW33" s="7"/>
      <c r="AX33" s="5"/>
      <c r="AY33" s="4"/>
      <c r="AZ33" s="9"/>
      <c r="BA33" s="5"/>
      <c r="BB33" s="4"/>
      <c r="BD33" s="9">
        <f t="shared" si="29"/>
        <v>0</v>
      </c>
      <c r="BE33" s="5"/>
      <c r="BF33" s="4"/>
    </row>
    <row r="34" spans="1:58" x14ac:dyDescent="0.25">
      <c r="A34" s="3">
        <v>32</v>
      </c>
      <c r="N34" s="9">
        <f t="shared" si="28"/>
        <v>0</v>
      </c>
      <c r="O34" s="5">
        <f t="shared" si="14"/>
        <v>0</v>
      </c>
      <c r="P34" s="4">
        <f t="shared" si="15"/>
        <v>0</v>
      </c>
      <c r="Y34" s="3"/>
      <c r="Z34" s="3"/>
      <c r="AA34" s="3"/>
      <c r="AP34" s="3">
        <v>32</v>
      </c>
      <c r="AR34" s="9"/>
      <c r="AS34" s="7"/>
      <c r="AT34" s="5"/>
      <c r="AU34" s="4"/>
      <c r="AV34" s="9"/>
      <c r="AW34" s="7"/>
      <c r="AX34" s="5"/>
      <c r="AY34" s="4"/>
      <c r="AZ34" s="9"/>
      <c r="BA34" s="5"/>
      <c r="BB34" s="4"/>
      <c r="BD34" s="9">
        <f t="shared" si="29"/>
        <v>0</v>
      </c>
      <c r="BE34" s="5"/>
      <c r="BF34" s="4"/>
    </row>
    <row r="35" spans="1:58" x14ac:dyDescent="0.25">
      <c r="A35" s="3">
        <v>33</v>
      </c>
      <c r="N35" s="9">
        <f t="shared" si="28"/>
        <v>0</v>
      </c>
      <c r="O35" s="5">
        <f t="shared" si="14"/>
        <v>0</v>
      </c>
      <c r="P35" s="4">
        <f t="shared" si="15"/>
        <v>0</v>
      </c>
      <c r="Y35" s="3"/>
      <c r="Z35" s="3"/>
      <c r="AA35" s="3"/>
      <c r="AP35" s="3">
        <v>33</v>
      </c>
      <c r="AR35" s="9"/>
      <c r="AS35" s="7"/>
      <c r="AT35" s="5"/>
      <c r="AU35" s="4"/>
      <c r="AV35" s="9"/>
      <c r="AW35" s="7"/>
      <c r="AX35" s="5"/>
      <c r="AY35" s="4"/>
      <c r="AZ35" s="9"/>
      <c r="BA35" s="5"/>
      <c r="BB35" s="4"/>
      <c r="BD35" s="9">
        <f t="shared" si="29"/>
        <v>0</v>
      </c>
      <c r="BE35" s="5"/>
      <c r="BF35" s="4"/>
    </row>
    <row r="36" spans="1:58" x14ac:dyDescent="0.25">
      <c r="A36" s="3">
        <v>34</v>
      </c>
      <c r="N36" s="9">
        <f t="shared" si="28"/>
        <v>0</v>
      </c>
      <c r="O36" s="5">
        <f t="shared" si="14"/>
        <v>0</v>
      </c>
      <c r="P36" s="4">
        <f t="shared" si="15"/>
        <v>0</v>
      </c>
      <c r="Y36" s="3"/>
      <c r="Z36" s="3"/>
      <c r="AA36" s="3"/>
      <c r="AP36" s="3">
        <v>34</v>
      </c>
      <c r="AR36" s="9"/>
      <c r="AS36" s="7"/>
      <c r="AT36" s="5"/>
      <c r="AU36" s="4"/>
      <c r="AV36" s="9"/>
      <c r="AW36" s="7"/>
      <c r="AX36" s="5"/>
      <c r="AY36" s="4"/>
      <c r="AZ36" s="9"/>
      <c r="BA36" s="5"/>
      <c r="BB36" s="4"/>
      <c r="BD36" s="9">
        <f t="shared" si="29"/>
        <v>0</v>
      </c>
      <c r="BE36" s="5"/>
      <c r="BF36" s="4"/>
    </row>
    <row r="37" spans="1:58" x14ac:dyDescent="0.25">
      <c r="A37" s="3">
        <v>35</v>
      </c>
      <c r="N37" s="9">
        <f t="shared" si="28"/>
        <v>0</v>
      </c>
      <c r="O37" s="5">
        <f t="shared" si="14"/>
        <v>0</v>
      </c>
      <c r="P37" s="4">
        <f t="shared" si="15"/>
        <v>0</v>
      </c>
      <c r="Y37" s="3"/>
      <c r="Z37" s="3"/>
      <c r="AA37" s="3"/>
      <c r="AP37" s="3">
        <v>35</v>
      </c>
      <c r="AR37" s="9"/>
      <c r="AS37" s="7"/>
      <c r="AT37" s="5"/>
      <c r="AU37" s="4"/>
      <c r="AV37" s="9"/>
      <c r="AW37" s="7"/>
      <c r="AX37" s="5"/>
      <c r="AY37" s="4"/>
      <c r="AZ37" s="9"/>
      <c r="BA37" s="5"/>
      <c r="BB37" s="4"/>
      <c r="BD37" s="9">
        <f t="shared" si="29"/>
        <v>0</v>
      </c>
      <c r="BE37" s="5"/>
      <c r="BF37" s="4"/>
    </row>
    <row r="38" spans="1:58" x14ac:dyDescent="0.25">
      <c r="A38" s="3">
        <v>36</v>
      </c>
      <c r="N38" s="9">
        <f t="shared" si="28"/>
        <v>0</v>
      </c>
      <c r="O38" s="5">
        <f t="shared" si="14"/>
        <v>0</v>
      </c>
      <c r="P38" s="4">
        <f t="shared" si="15"/>
        <v>0</v>
      </c>
      <c r="Y38" s="3"/>
      <c r="Z38" s="3"/>
      <c r="AA38" s="3"/>
      <c r="AP38" s="3">
        <v>36</v>
      </c>
      <c r="AR38" s="9"/>
      <c r="AS38" s="7"/>
      <c r="AT38" s="5"/>
      <c r="AU38" s="4"/>
      <c r="AV38" s="9"/>
      <c r="AW38" s="7"/>
      <c r="AX38" s="5"/>
      <c r="AY38" s="4"/>
      <c r="AZ38" s="9"/>
      <c r="BA38" s="5"/>
      <c r="BB38" s="4"/>
      <c r="BD38" s="9">
        <f t="shared" si="29"/>
        <v>0</v>
      </c>
      <c r="BE38" s="5"/>
      <c r="BF38" s="4"/>
    </row>
    <row r="39" spans="1:58" x14ac:dyDescent="0.25">
      <c r="N39" s="9"/>
      <c r="O39" s="5"/>
      <c r="P39" s="4"/>
      <c r="Y39" s="3"/>
      <c r="Z39" s="3"/>
      <c r="AA39" s="3"/>
    </row>
    <row r="40" spans="1:58" x14ac:dyDescent="0.25">
      <c r="N40" s="9"/>
      <c r="O40" s="5"/>
      <c r="P40" s="4"/>
      <c r="Y40" s="3"/>
      <c r="Z40" s="3"/>
      <c r="AA4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3FC3-4AB9-4D0E-8605-C8574779E406}">
  <dimension ref="A1:CF47"/>
  <sheetViews>
    <sheetView topLeftCell="I1" zoomScale="40" zoomScaleNormal="40" workbookViewId="0">
      <selection activeCell="AG58" sqref="AG58"/>
    </sheetView>
  </sheetViews>
  <sheetFormatPr defaultRowHeight="15.75" x14ac:dyDescent="0.25"/>
  <cols>
    <col min="4" max="10" width="16.140625" bestFit="1" customWidth="1"/>
    <col min="17" max="20" width="18.7109375" bestFit="1" customWidth="1"/>
    <col min="21" max="22" width="17" bestFit="1" customWidth="1"/>
    <col min="27" max="28" width="27.42578125" bestFit="1" customWidth="1"/>
    <col min="29" max="32" width="26.5703125" bestFit="1" customWidth="1"/>
    <col min="33" max="33" width="26" bestFit="1" customWidth="1"/>
    <col min="34" max="36" width="24.85546875" bestFit="1" customWidth="1"/>
    <col min="37" max="37" width="24.42578125" bestFit="1" customWidth="1"/>
    <col min="62" max="62" width="19.140625" bestFit="1" customWidth="1"/>
    <col min="63" max="63" width="17.5703125" bestFit="1" customWidth="1"/>
  </cols>
  <sheetData>
    <row r="1" spans="1:84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L1" s="5"/>
      <c r="M1" s="4"/>
      <c r="N1" s="9" t="str">
        <f t="shared" ref="N1:N12" si="0">K1</f>
        <v>det22_c</v>
      </c>
      <c r="O1" s="5">
        <f t="shared" ref="O1:O12" si="1">L1</f>
        <v>0</v>
      </c>
      <c r="P1" s="4">
        <f t="shared" ref="P1:P12" si="2">M1</f>
        <v>0</v>
      </c>
      <c r="Q1" s="3" t="s">
        <v>35</v>
      </c>
      <c r="R1" s="3"/>
      <c r="S1" s="3"/>
      <c r="T1" s="3" t="s">
        <v>80</v>
      </c>
      <c r="U1" s="3" t="s">
        <v>68</v>
      </c>
      <c r="V1" s="3" t="s">
        <v>69</v>
      </c>
      <c r="W1" s="3"/>
      <c r="X1" s="3" t="s">
        <v>49</v>
      </c>
      <c r="Y1" s="3" t="s">
        <v>15</v>
      </c>
      <c r="Z1" s="3" t="str">
        <f>LEFT(Y1, LEN(Y1)-2) &amp; "1]"</f>
        <v>det22_reg [1]</v>
      </c>
      <c r="AA1" s="3" t="s">
        <v>16</v>
      </c>
      <c r="AB1" s="3" t="s">
        <v>17</v>
      </c>
      <c r="AC1" s="3" t="s">
        <v>14</v>
      </c>
      <c r="AD1" s="3" t="s">
        <v>18</v>
      </c>
      <c r="AE1" s="3" t="s">
        <v>19</v>
      </c>
      <c r="AF1" s="3" t="s">
        <v>20</v>
      </c>
      <c r="AG1" s="3" t="s">
        <v>33</v>
      </c>
      <c r="AH1" s="3" t="s">
        <v>34</v>
      </c>
      <c r="AI1" s="3" t="s">
        <v>23</v>
      </c>
      <c r="AM1" s="3"/>
      <c r="AN1" s="3"/>
      <c r="AO1" s="3"/>
      <c r="AP1" s="3" t="s">
        <v>1</v>
      </c>
      <c r="AQ1" s="3" t="s">
        <v>2</v>
      </c>
      <c r="AR1" s="9" t="s">
        <v>3</v>
      </c>
      <c r="AS1" s="7" t="s">
        <v>11</v>
      </c>
      <c r="AT1" s="5" t="s">
        <v>4</v>
      </c>
      <c r="AU1" s="4" t="s">
        <v>5</v>
      </c>
      <c r="AV1" s="9" t="s">
        <v>6</v>
      </c>
      <c r="AW1" s="7" t="s">
        <v>7</v>
      </c>
      <c r="AX1" s="5" t="s">
        <v>8</v>
      </c>
      <c r="AY1" s="4" t="s">
        <v>9</v>
      </c>
      <c r="AZ1" s="9" t="s">
        <v>12</v>
      </c>
      <c r="BA1" s="5"/>
      <c r="BB1" s="4"/>
      <c r="BC1" s="3"/>
      <c r="BD1" s="9">
        <f t="shared" ref="BD1:BD9" si="3">P1</f>
        <v>0</v>
      </c>
      <c r="BE1" s="5" t="s">
        <v>0</v>
      </c>
      <c r="BF1" s="4" t="s">
        <v>0</v>
      </c>
      <c r="BG1" s="3" t="s">
        <v>35</v>
      </c>
      <c r="BH1" s="3"/>
      <c r="BI1" s="3"/>
      <c r="BJ1" s="3" t="s">
        <v>80</v>
      </c>
      <c r="BK1" s="3" t="s">
        <v>68</v>
      </c>
      <c r="BL1" s="3" t="s">
        <v>69</v>
      </c>
      <c r="BM1" s="3"/>
      <c r="BN1" s="3"/>
      <c r="BO1" s="3"/>
      <c r="BP1" s="3"/>
      <c r="BQ1" s="3" t="s">
        <v>49</v>
      </c>
      <c r="BR1" s="3" t="s">
        <v>15</v>
      </c>
      <c r="BS1" s="3" t="str">
        <f>LEFT(BR1, LEN(BR1)-2) &amp; "1]"</f>
        <v>det22_reg [1]</v>
      </c>
      <c r="BT1" s="3" t="s">
        <v>16</v>
      </c>
      <c r="BU1" s="3" t="s">
        <v>17</v>
      </c>
      <c r="BV1" s="3" t="s">
        <v>14</v>
      </c>
      <c r="BW1" s="3" t="s">
        <v>18</v>
      </c>
      <c r="BX1" s="3" t="s">
        <v>19</v>
      </c>
      <c r="BY1" s="3" t="s">
        <v>20</v>
      </c>
      <c r="BZ1" s="3" t="s">
        <v>33</v>
      </c>
      <c r="CA1" s="3" t="s">
        <v>34</v>
      </c>
      <c r="CB1" s="3" t="s">
        <v>23</v>
      </c>
      <c r="CC1" s="3"/>
      <c r="CD1" s="3"/>
      <c r="CE1" s="3"/>
      <c r="CF1" s="3"/>
    </row>
    <row r="2" spans="1:84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9">
        <f t="shared" si="0"/>
        <v>0</v>
      </c>
      <c r="O2" s="5">
        <f t="shared" si="1"/>
        <v>0</v>
      </c>
      <c r="P2" s="4">
        <f t="shared" si="2"/>
        <v>0</v>
      </c>
      <c r="Q2" s="3"/>
      <c r="R2" s="3"/>
      <c r="S2" s="3"/>
      <c r="T2" s="3"/>
      <c r="U2" s="3"/>
      <c r="V2" s="3"/>
      <c r="W2" s="3"/>
      <c r="X2" s="3"/>
      <c r="Y2" s="3"/>
      <c r="Z2" s="36" t="s">
        <v>75</v>
      </c>
      <c r="AA2" s="3" t="s">
        <v>93</v>
      </c>
      <c r="AB2" s="3" t="s">
        <v>96</v>
      </c>
      <c r="AC2" s="3" t="s">
        <v>78</v>
      </c>
      <c r="AD2" s="3" t="s">
        <v>76</v>
      </c>
      <c r="AE2" s="3" t="s">
        <v>102</v>
      </c>
      <c r="AF2" s="3" t="s">
        <v>72</v>
      </c>
      <c r="AG2" s="3" t="s">
        <v>79</v>
      </c>
      <c r="AH2" s="3" t="s">
        <v>77</v>
      </c>
      <c r="AI2" s="3"/>
      <c r="AM2" s="3"/>
      <c r="AN2" s="3"/>
      <c r="AO2" s="3"/>
      <c r="AP2" s="3">
        <v>0</v>
      </c>
      <c r="AQ2" s="3"/>
      <c r="AR2" s="9"/>
      <c r="AS2" s="7"/>
      <c r="AT2" s="5"/>
      <c r="AU2" s="4"/>
      <c r="AV2" s="9"/>
      <c r="AW2" s="7"/>
      <c r="AX2" s="5"/>
      <c r="AY2" s="4"/>
      <c r="AZ2" s="9"/>
      <c r="BA2" s="5"/>
      <c r="BB2" s="4"/>
      <c r="BC2" s="3"/>
      <c r="BD2" s="9">
        <f t="shared" si="3"/>
        <v>0</v>
      </c>
      <c r="BE2" s="5">
        <f t="shared" ref="BE2:BE9" si="4">S2</f>
        <v>0</v>
      </c>
      <c r="BF2" s="4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</row>
    <row r="3" spans="1:84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9">
        <f t="shared" si="0"/>
        <v>0</v>
      </c>
      <c r="O3" s="5">
        <f t="shared" si="1"/>
        <v>0</v>
      </c>
      <c r="P3" s="4">
        <f t="shared" si="2"/>
        <v>0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M3" s="3"/>
      <c r="AN3" s="3"/>
      <c r="AO3" s="3"/>
      <c r="AP3" s="3">
        <v>1</v>
      </c>
      <c r="AQ3" s="3">
        <v>1</v>
      </c>
      <c r="AR3" s="9" t="s">
        <v>10</v>
      </c>
      <c r="AS3" s="7" t="s">
        <v>10</v>
      </c>
      <c r="AT3" s="5" t="s">
        <v>10</v>
      </c>
      <c r="AU3" s="4" t="s">
        <v>10</v>
      </c>
      <c r="AV3" s="9" t="s">
        <v>10</v>
      </c>
      <c r="AW3" s="7" t="s">
        <v>10</v>
      </c>
      <c r="AX3" s="5" t="s">
        <v>10</v>
      </c>
      <c r="AY3" s="4">
        <v>1</v>
      </c>
      <c r="AZ3" s="9"/>
      <c r="BA3" s="5"/>
      <c r="BB3" s="4"/>
      <c r="BC3" s="3"/>
      <c r="BD3" s="9">
        <f t="shared" si="3"/>
        <v>0</v>
      </c>
      <c r="BE3" s="5">
        <f t="shared" si="4"/>
        <v>0</v>
      </c>
      <c r="BF3" s="4">
        <f t="shared" ref="BF3:BF9" si="5">T3</f>
        <v>0</v>
      </c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</row>
    <row r="4" spans="1:84" x14ac:dyDescent="0.25">
      <c r="A4" s="3">
        <v>2</v>
      </c>
      <c r="B4" s="3">
        <v>2</v>
      </c>
      <c r="C4" s="9" t="str">
        <f t="shared" ref="C4:I18" si="6">D3</f>
        <v>X</v>
      </c>
      <c r="D4" s="7" t="str">
        <f t="shared" si="6"/>
        <v>X</v>
      </c>
      <c r="E4" s="5" t="str">
        <f t="shared" si="6"/>
        <v>X</v>
      </c>
      <c r="F4" s="4" t="str">
        <f t="shared" si="6"/>
        <v>X</v>
      </c>
      <c r="G4" s="9" t="str">
        <f t="shared" si="6"/>
        <v>X</v>
      </c>
      <c r="H4" s="7" t="str">
        <f t="shared" si="6"/>
        <v>X</v>
      </c>
      <c r="I4" s="5">
        <f>J3</f>
        <v>1</v>
      </c>
      <c r="J4" s="4">
        <v>2</v>
      </c>
      <c r="K4" s="9"/>
      <c r="L4" s="5"/>
      <c r="M4" s="4"/>
      <c r="N4" s="9">
        <f t="shared" si="0"/>
        <v>0</v>
      </c>
      <c r="O4" s="5">
        <f t="shared" si="1"/>
        <v>0</v>
      </c>
      <c r="P4" s="4">
        <f t="shared" si="2"/>
        <v>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M4" s="3"/>
      <c r="AN4" s="3"/>
      <c r="AO4" s="3"/>
      <c r="AP4" s="3">
        <v>2</v>
      </c>
      <c r="AQ4" s="3">
        <v>2</v>
      </c>
      <c r="AR4" s="9" t="str">
        <f t="shared" ref="AR4:AX19" si="7">AS3</f>
        <v>X</v>
      </c>
      <c r="AS4" s="7" t="str">
        <f t="shared" si="7"/>
        <v>X</v>
      </c>
      <c r="AT4" s="5" t="str">
        <f t="shared" si="7"/>
        <v>X</v>
      </c>
      <c r="AU4" s="4" t="str">
        <f t="shared" si="7"/>
        <v>X</v>
      </c>
      <c r="AV4" s="9" t="str">
        <f t="shared" si="7"/>
        <v>X</v>
      </c>
      <c r="AW4" s="7" t="str">
        <f t="shared" si="7"/>
        <v>X</v>
      </c>
      <c r="AX4" s="5">
        <f>AY3</f>
        <v>1</v>
      </c>
      <c r="AY4" s="4">
        <v>2</v>
      </c>
      <c r="AZ4" s="9"/>
      <c r="BA4" s="5"/>
      <c r="BB4" s="4"/>
      <c r="BC4" s="3"/>
      <c r="BD4" s="9">
        <f t="shared" si="3"/>
        <v>0</v>
      </c>
      <c r="BE4" s="5">
        <f t="shared" si="4"/>
        <v>0</v>
      </c>
      <c r="BF4" s="4">
        <f t="shared" si="5"/>
        <v>0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</row>
    <row r="5" spans="1:84" x14ac:dyDescent="0.25">
      <c r="A5" s="3">
        <v>3</v>
      </c>
      <c r="B5" s="3">
        <v>3</v>
      </c>
      <c r="C5" s="9" t="str">
        <f t="shared" si="6"/>
        <v>X</v>
      </c>
      <c r="D5" s="7" t="str">
        <f t="shared" si="6"/>
        <v>X</v>
      </c>
      <c r="E5" s="5" t="str">
        <f t="shared" si="6"/>
        <v>X</v>
      </c>
      <c r="F5" s="4" t="str">
        <f t="shared" si="6"/>
        <v>X</v>
      </c>
      <c r="G5" s="9" t="str">
        <f t="shared" si="6"/>
        <v>X</v>
      </c>
      <c r="H5" s="7">
        <f t="shared" si="6"/>
        <v>1</v>
      </c>
      <c r="I5" s="5">
        <f t="shared" si="6"/>
        <v>2</v>
      </c>
      <c r="J5" s="4">
        <v>3</v>
      </c>
      <c r="K5" s="9"/>
      <c r="L5" s="5"/>
      <c r="M5" s="4"/>
      <c r="N5" s="9">
        <f t="shared" si="0"/>
        <v>0</v>
      </c>
      <c r="O5" s="5">
        <f t="shared" si="1"/>
        <v>0</v>
      </c>
      <c r="P5" s="4">
        <f t="shared" si="2"/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M5" s="3"/>
      <c r="AN5" s="3"/>
      <c r="AO5" s="3"/>
      <c r="AP5" s="3">
        <v>3</v>
      </c>
      <c r="AQ5" s="3">
        <v>3</v>
      </c>
      <c r="AR5" s="9" t="str">
        <f t="shared" si="7"/>
        <v>X</v>
      </c>
      <c r="AS5" s="7" t="str">
        <f t="shared" si="7"/>
        <v>X</v>
      </c>
      <c r="AT5" s="5" t="str">
        <f t="shared" si="7"/>
        <v>X</v>
      </c>
      <c r="AU5" s="4" t="str">
        <f t="shared" si="7"/>
        <v>X</v>
      </c>
      <c r="AV5" s="9" t="str">
        <f t="shared" si="7"/>
        <v>X</v>
      </c>
      <c r="AW5" s="7">
        <f t="shared" si="7"/>
        <v>1</v>
      </c>
      <c r="AX5" s="5">
        <f t="shared" si="7"/>
        <v>2</v>
      </c>
      <c r="AY5" s="4">
        <v>3</v>
      </c>
      <c r="AZ5" s="9"/>
      <c r="BA5" s="5"/>
      <c r="BB5" s="4"/>
      <c r="BC5" s="3"/>
      <c r="BD5" s="9">
        <f t="shared" si="3"/>
        <v>0</v>
      </c>
      <c r="BE5" s="5">
        <f t="shared" si="4"/>
        <v>0</v>
      </c>
      <c r="BF5" s="4">
        <f t="shared" si="5"/>
        <v>0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</row>
    <row r="6" spans="1:84" x14ac:dyDescent="0.25">
      <c r="A6" s="3">
        <v>4</v>
      </c>
      <c r="B6" s="3">
        <v>4</v>
      </c>
      <c r="C6" s="9" t="str">
        <f t="shared" si="6"/>
        <v>X</v>
      </c>
      <c r="D6" s="7" t="str">
        <f t="shared" si="6"/>
        <v>X</v>
      </c>
      <c r="E6" s="5" t="str">
        <f t="shared" si="6"/>
        <v>X</v>
      </c>
      <c r="F6" s="4" t="str">
        <f t="shared" si="6"/>
        <v>X</v>
      </c>
      <c r="G6" s="9">
        <f t="shared" si="6"/>
        <v>1</v>
      </c>
      <c r="H6" s="7">
        <f t="shared" si="6"/>
        <v>2</v>
      </c>
      <c r="I6" s="5">
        <f t="shared" si="6"/>
        <v>3</v>
      </c>
      <c r="J6" s="4">
        <v>4</v>
      </c>
      <c r="K6" s="9"/>
      <c r="L6" s="5"/>
      <c r="M6" s="4"/>
      <c r="N6" s="9">
        <f t="shared" si="0"/>
        <v>0</v>
      </c>
      <c r="O6" s="5">
        <f t="shared" si="1"/>
        <v>0</v>
      </c>
      <c r="P6" s="4">
        <f t="shared" si="2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M6" s="3"/>
      <c r="AN6" s="3"/>
      <c r="AO6" s="3"/>
      <c r="AP6" s="3">
        <v>4</v>
      </c>
      <c r="AQ6" s="3">
        <v>4</v>
      </c>
      <c r="AR6" s="9" t="str">
        <f t="shared" si="7"/>
        <v>X</v>
      </c>
      <c r="AS6" s="7" t="str">
        <f t="shared" si="7"/>
        <v>X</v>
      </c>
      <c r="AT6" s="5" t="str">
        <f t="shared" si="7"/>
        <v>X</v>
      </c>
      <c r="AU6" s="4" t="str">
        <f t="shared" si="7"/>
        <v>X</v>
      </c>
      <c r="AV6" s="9">
        <f t="shared" si="7"/>
        <v>1</v>
      </c>
      <c r="AW6" s="7">
        <f t="shared" si="7"/>
        <v>2</v>
      </c>
      <c r="AX6" s="5">
        <f t="shared" si="7"/>
        <v>3</v>
      </c>
      <c r="AY6" s="4">
        <v>4</v>
      </c>
      <c r="AZ6" s="9"/>
      <c r="BA6" s="5"/>
      <c r="BB6" s="4"/>
      <c r="BC6" s="3"/>
      <c r="BD6" s="9">
        <f t="shared" si="3"/>
        <v>0</v>
      </c>
      <c r="BE6" s="5">
        <f t="shared" si="4"/>
        <v>0</v>
      </c>
      <c r="BF6" s="4">
        <f t="shared" si="5"/>
        <v>0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1:84" x14ac:dyDescent="0.25">
      <c r="A7" s="3">
        <v>5</v>
      </c>
      <c r="B7" s="3">
        <v>5</v>
      </c>
      <c r="C7" s="9" t="str">
        <f t="shared" si="6"/>
        <v>X</v>
      </c>
      <c r="D7" s="7" t="str">
        <f t="shared" si="6"/>
        <v>X</v>
      </c>
      <c r="E7" s="5" t="str">
        <f t="shared" si="6"/>
        <v>X</v>
      </c>
      <c r="F7" s="4">
        <f t="shared" si="6"/>
        <v>1</v>
      </c>
      <c r="G7" s="9">
        <f t="shared" si="6"/>
        <v>2</v>
      </c>
      <c r="H7" s="7">
        <f t="shared" si="6"/>
        <v>3</v>
      </c>
      <c r="I7" s="5">
        <f t="shared" si="6"/>
        <v>4</v>
      </c>
      <c r="J7" s="4">
        <v>5</v>
      </c>
      <c r="K7" s="9"/>
      <c r="L7" s="5"/>
      <c r="M7" s="4"/>
      <c r="N7" s="9">
        <f t="shared" si="0"/>
        <v>0</v>
      </c>
      <c r="O7" s="5">
        <f t="shared" si="1"/>
        <v>0</v>
      </c>
      <c r="P7" s="4">
        <f t="shared" si="2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B7" s="3"/>
      <c r="AC7" s="3"/>
      <c r="AD7" s="3"/>
      <c r="AE7" s="3"/>
      <c r="AF7" s="3"/>
      <c r="AG7" s="3"/>
      <c r="AH7" s="3"/>
      <c r="AI7" s="3"/>
      <c r="AM7" s="3"/>
      <c r="AN7" s="3"/>
      <c r="AO7" s="3"/>
      <c r="AP7" s="3">
        <v>5</v>
      </c>
      <c r="AQ7" s="3">
        <v>5</v>
      </c>
      <c r="AR7" s="9" t="str">
        <f t="shared" si="7"/>
        <v>X</v>
      </c>
      <c r="AS7" s="7" t="str">
        <f t="shared" si="7"/>
        <v>X</v>
      </c>
      <c r="AT7" s="5" t="str">
        <f t="shared" si="7"/>
        <v>X</v>
      </c>
      <c r="AU7" s="4">
        <f t="shared" si="7"/>
        <v>1</v>
      </c>
      <c r="AV7" s="9">
        <f t="shared" si="7"/>
        <v>2</v>
      </c>
      <c r="AW7" s="7">
        <f t="shared" si="7"/>
        <v>3</v>
      </c>
      <c r="AX7" s="5">
        <f t="shared" si="7"/>
        <v>4</v>
      </c>
      <c r="AY7" s="4">
        <v>5</v>
      </c>
      <c r="AZ7" s="9"/>
      <c r="BA7" s="5"/>
      <c r="BB7" s="4"/>
      <c r="BC7" s="3"/>
      <c r="BD7" s="9">
        <f t="shared" si="3"/>
        <v>0</v>
      </c>
      <c r="BE7" s="5">
        <f t="shared" si="4"/>
        <v>0</v>
      </c>
      <c r="BF7" s="4">
        <f t="shared" si="5"/>
        <v>0</v>
      </c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</row>
    <row r="8" spans="1:84" x14ac:dyDescent="0.25">
      <c r="A8" s="3">
        <v>6</v>
      </c>
      <c r="B8" s="3">
        <v>6</v>
      </c>
      <c r="C8" s="9" t="str">
        <f t="shared" si="6"/>
        <v>X</v>
      </c>
      <c r="D8" s="7" t="str">
        <f t="shared" si="6"/>
        <v>X</v>
      </c>
      <c r="E8" s="5">
        <f t="shared" si="6"/>
        <v>1</v>
      </c>
      <c r="F8" s="4">
        <f t="shared" si="6"/>
        <v>2</v>
      </c>
      <c r="G8" s="9">
        <f t="shared" si="6"/>
        <v>3</v>
      </c>
      <c r="H8" s="7">
        <f t="shared" si="6"/>
        <v>4</v>
      </c>
      <c r="I8" s="5">
        <f t="shared" si="6"/>
        <v>5</v>
      </c>
      <c r="J8" s="4">
        <v>6</v>
      </c>
      <c r="K8" s="9"/>
      <c r="L8" s="5"/>
      <c r="M8" s="4"/>
      <c r="N8" s="9">
        <f t="shared" si="0"/>
        <v>0</v>
      </c>
      <c r="O8" s="5">
        <f t="shared" si="1"/>
        <v>0</v>
      </c>
      <c r="P8" s="4">
        <f t="shared" si="2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M8" s="3"/>
      <c r="AN8" s="3"/>
      <c r="AO8" s="3"/>
      <c r="AP8" s="3">
        <v>6</v>
      </c>
      <c r="AQ8" s="3">
        <v>6</v>
      </c>
      <c r="AR8" s="9" t="str">
        <f t="shared" si="7"/>
        <v>X</v>
      </c>
      <c r="AS8" s="7" t="str">
        <f t="shared" si="7"/>
        <v>X</v>
      </c>
      <c r="AT8" s="5">
        <f t="shared" si="7"/>
        <v>1</v>
      </c>
      <c r="AU8" s="4">
        <f t="shared" si="7"/>
        <v>2</v>
      </c>
      <c r="AV8" s="9">
        <f t="shared" si="7"/>
        <v>3</v>
      </c>
      <c r="AW8" s="7">
        <f t="shared" si="7"/>
        <v>4</v>
      </c>
      <c r="AX8" s="5">
        <f t="shared" si="7"/>
        <v>5</v>
      </c>
      <c r="AY8" s="4">
        <v>6</v>
      </c>
      <c r="AZ8" s="9"/>
      <c r="BA8" s="5"/>
      <c r="BB8" s="4"/>
      <c r="BC8" s="3"/>
      <c r="BD8" s="9">
        <f t="shared" si="3"/>
        <v>0</v>
      </c>
      <c r="BE8" s="5">
        <f t="shared" si="4"/>
        <v>0</v>
      </c>
      <c r="BF8" s="4">
        <f t="shared" si="5"/>
        <v>0</v>
      </c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</row>
    <row r="9" spans="1:84" ht="16.5" thickBot="1" x14ac:dyDescent="0.3">
      <c r="A9" s="3">
        <v>7</v>
      </c>
      <c r="B9" s="3">
        <v>7</v>
      </c>
      <c r="C9" s="9" t="str">
        <f t="shared" si="6"/>
        <v>X</v>
      </c>
      <c r="D9" s="7">
        <f t="shared" si="6"/>
        <v>1</v>
      </c>
      <c r="E9" s="5">
        <f t="shared" si="6"/>
        <v>2</v>
      </c>
      <c r="F9" s="4">
        <f t="shared" si="6"/>
        <v>3</v>
      </c>
      <c r="G9" s="9">
        <f t="shared" si="6"/>
        <v>4</v>
      </c>
      <c r="H9" s="7">
        <f t="shared" si="6"/>
        <v>5</v>
      </c>
      <c r="I9" s="5">
        <f t="shared" si="6"/>
        <v>6</v>
      </c>
      <c r="J9" s="4">
        <v>7</v>
      </c>
      <c r="K9" s="9"/>
      <c r="L9" s="5"/>
      <c r="M9" s="4"/>
      <c r="N9" s="9">
        <f t="shared" si="0"/>
        <v>0</v>
      </c>
      <c r="O9" s="5">
        <f t="shared" si="1"/>
        <v>0</v>
      </c>
      <c r="P9" s="4">
        <f t="shared" si="2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M9" s="3"/>
      <c r="AN9" s="3"/>
      <c r="AO9" s="3"/>
      <c r="AP9" s="3">
        <v>7</v>
      </c>
      <c r="AQ9" s="3">
        <v>7</v>
      </c>
      <c r="AR9" s="9" t="str">
        <f t="shared" si="7"/>
        <v>X</v>
      </c>
      <c r="AS9" s="7">
        <f t="shared" si="7"/>
        <v>1</v>
      </c>
      <c r="AT9" s="5">
        <f t="shared" si="7"/>
        <v>2</v>
      </c>
      <c r="AU9" s="4">
        <f t="shared" si="7"/>
        <v>3</v>
      </c>
      <c r="AV9" s="9">
        <f t="shared" si="7"/>
        <v>4</v>
      </c>
      <c r="AW9" s="7">
        <f t="shared" si="7"/>
        <v>5</v>
      </c>
      <c r="AX9" s="5">
        <f t="shared" si="7"/>
        <v>6</v>
      </c>
      <c r="AY9" s="4">
        <v>7</v>
      </c>
      <c r="AZ9" s="9"/>
      <c r="BA9" s="5"/>
      <c r="BB9" s="4"/>
      <c r="BC9" s="3"/>
      <c r="BD9" s="9">
        <f t="shared" si="3"/>
        <v>0</v>
      </c>
      <c r="BE9" s="5">
        <f t="shared" si="4"/>
        <v>0</v>
      </c>
      <c r="BF9" s="4">
        <f t="shared" si="5"/>
        <v>0</v>
      </c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</row>
    <row r="10" spans="1:84" ht="16.5" thickBot="1" x14ac:dyDescent="0.3">
      <c r="A10" s="3">
        <v>8</v>
      </c>
      <c r="B10" s="11">
        <v>8</v>
      </c>
      <c r="C10" s="12">
        <f t="shared" si="6"/>
        <v>1</v>
      </c>
      <c r="D10" s="13">
        <f t="shared" si="6"/>
        <v>2</v>
      </c>
      <c r="E10" s="14">
        <f t="shared" si="6"/>
        <v>3</v>
      </c>
      <c r="F10" s="15">
        <f t="shared" si="6"/>
        <v>4</v>
      </c>
      <c r="G10" s="12">
        <f t="shared" si="6"/>
        <v>5</v>
      </c>
      <c r="H10" s="13">
        <f t="shared" si="6"/>
        <v>6</v>
      </c>
      <c r="I10" s="14">
        <f t="shared" si="6"/>
        <v>7</v>
      </c>
      <c r="J10" s="16">
        <v>8</v>
      </c>
      <c r="K10" s="9" t="str">
        <f>C10 &amp; "," &amp; D10 &amp; CHAR(10) &amp; G10 &amp; "," &amp; H10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9" t="str">
        <f t="shared" si="0"/>
        <v>1,2
5,6</v>
      </c>
      <c r="O10" s="5" t="str">
        <f t="shared" si="1"/>
        <v>1,3
5,7</v>
      </c>
      <c r="P10" s="4" t="str">
        <f t="shared" si="2"/>
        <v>1,4
5,8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27" t="s">
        <v>32</v>
      </c>
      <c r="AM10" s="3"/>
      <c r="AN10" s="3"/>
      <c r="AO10" s="3"/>
      <c r="AP10" s="3">
        <v>8</v>
      </c>
      <c r="AQ10" s="11">
        <v>8</v>
      </c>
      <c r="AR10" s="12">
        <f t="shared" si="7"/>
        <v>1</v>
      </c>
      <c r="AS10" s="13">
        <f t="shared" si="7"/>
        <v>2</v>
      </c>
      <c r="AT10" s="14">
        <f t="shared" si="7"/>
        <v>3</v>
      </c>
      <c r="AU10" s="15">
        <f t="shared" si="7"/>
        <v>4</v>
      </c>
      <c r="AV10" s="12">
        <f t="shared" si="7"/>
        <v>5</v>
      </c>
      <c r="AW10" s="13">
        <f t="shared" si="7"/>
        <v>6</v>
      </c>
      <c r="AX10" s="14">
        <f t="shared" si="7"/>
        <v>7</v>
      </c>
      <c r="AY10" s="16">
        <v>8</v>
      </c>
      <c r="AZ10" s="9" t="str">
        <f>AR10 &amp; "," &amp; AS10 &amp; CHAR(10) &amp; AV10 &amp; "," &amp; AW10</f>
        <v>1,2
5,6</v>
      </c>
      <c r="BA10" s="5" t="str">
        <f>AR10 &amp; "," &amp; AT10 &amp; CHAR(10) &amp; AV10 &amp; "," &amp; AX10</f>
        <v>1,3
5,7</v>
      </c>
      <c r="BB10" s="4" t="str">
        <f>AR10 &amp; "," &amp; AU10 &amp; CHAR(10) &amp; AV10 &amp; "," &amp; AY10</f>
        <v>1,4
5,8</v>
      </c>
      <c r="BC10" s="3"/>
      <c r="BD10" s="9" t="str">
        <f>N10</f>
        <v>1,2
5,6</v>
      </c>
      <c r="BE10" s="5" t="str">
        <f>O10</f>
        <v>1,3
5,7</v>
      </c>
      <c r="BF10" s="4" t="str">
        <f>P10</f>
        <v>1,4
5,8</v>
      </c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27" t="s">
        <v>32</v>
      </c>
      <c r="CC10" s="3"/>
      <c r="CD10" s="3"/>
      <c r="CE10" s="3"/>
      <c r="CF10" s="3"/>
    </row>
    <row r="11" spans="1:84" x14ac:dyDescent="0.25">
      <c r="A11" s="3">
        <v>9</v>
      </c>
      <c r="B11" s="3">
        <v>9</v>
      </c>
      <c r="C11" s="9">
        <f t="shared" si="6"/>
        <v>2</v>
      </c>
      <c r="D11" s="7">
        <f t="shared" si="6"/>
        <v>3</v>
      </c>
      <c r="E11" s="5">
        <f t="shared" si="6"/>
        <v>4</v>
      </c>
      <c r="F11" s="4">
        <f t="shared" si="6"/>
        <v>5</v>
      </c>
      <c r="G11" s="9">
        <f t="shared" si="6"/>
        <v>6</v>
      </c>
      <c r="H11" s="7">
        <f t="shared" si="6"/>
        <v>7</v>
      </c>
      <c r="I11" s="5">
        <f t="shared" si="6"/>
        <v>8</v>
      </c>
      <c r="J11" s="4">
        <v>9</v>
      </c>
      <c r="K11" s="9" t="str">
        <f t="shared" ref="K11:K20" si="8">C11 &amp; "," &amp; D11 &amp; CHAR(10) &amp; G11 &amp; "," &amp; H11</f>
        <v>2,3
6,7</v>
      </c>
      <c r="L11" s="5" t="str">
        <f t="shared" ref="L11:L15" si="9">C11 &amp; "," &amp; E11 &amp; CHAR(10) &amp; G11 &amp; "," &amp; I11</f>
        <v>2,4
6,8</v>
      </c>
      <c r="M11" s="4"/>
      <c r="N11" s="9" t="str">
        <f t="shared" si="0"/>
        <v>2,3
6,7</v>
      </c>
      <c r="O11" s="5" t="str">
        <f t="shared" si="1"/>
        <v>2,4
6,8</v>
      </c>
      <c r="P11" s="4">
        <f t="shared" si="2"/>
        <v>0</v>
      </c>
      <c r="Q11" s="3"/>
      <c r="R11" s="3"/>
      <c r="S11" s="3"/>
      <c r="T11" s="3"/>
      <c r="U11" s="3"/>
      <c r="V11" s="3"/>
      <c r="W11" s="3"/>
      <c r="X11" s="3"/>
      <c r="AA11" s="29" t="str">
        <f>P10</f>
        <v>1,4
5,8</v>
      </c>
      <c r="AB11" s="3"/>
      <c r="AC11" s="3"/>
      <c r="AD11" s="3" t="str">
        <f>N10</f>
        <v>1,2
5,6</v>
      </c>
      <c r="AE11" s="3"/>
      <c r="AF11" s="3"/>
      <c r="AG11" s="3"/>
      <c r="AH11" s="3" t="str">
        <f>O10</f>
        <v>1,3
5,7</v>
      </c>
      <c r="AI11" s="27" t="s">
        <v>31</v>
      </c>
      <c r="AM11" s="3"/>
      <c r="AN11" s="3"/>
      <c r="AO11" s="3"/>
      <c r="AP11" s="3">
        <v>9</v>
      </c>
      <c r="AQ11" s="3">
        <v>9</v>
      </c>
      <c r="AR11" s="9">
        <f t="shared" si="7"/>
        <v>2</v>
      </c>
      <c r="AS11" s="7">
        <f t="shared" si="7"/>
        <v>3</v>
      </c>
      <c r="AT11" s="5">
        <f t="shared" si="7"/>
        <v>4</v>
      </c>
      <c r="AU11" s="4">
        <f t="shared" si="7"/>
        <v>5</v>
      </c>
      <c r="AV11" s="9">
        <f t="shared" si="7"/>
        <v>6</v>
      </c>
      <c r="AW11" s="7">
        <f t="shared" si="7"/>
        <v>7</v>
      </c>
      <c r="AX11" s="5">
        <f t="shared" si="7"/>
        <v>8</v>
      </c>
      <c r="AY11" s="4">
        <v>9</v>
      </c>
      <c r="AZ11" s="9" t="str">
        <f t="shared" ref="AZ11:AZ12" si="10">AR11 &amp; "," &amp; AS11 &amp; CHAR(10) &amp; AV11 &amp; "," &amp; AW11</f>
        <v>2,3
6,7</v>
      </c>
      <c r="BA11" s="5" t="str">
        <f t="shared" ref="BA11" si="11">AR11 &amp; "," &amp; AT11 &amp; CHAR(10) &amp; AV11 &amp; "," &amp; AX11</f>
        <v>2,4
6,8</v>
      </c>
      <c r="BB11" s="4"/>
      <c r="BC11" s="3"/>
      <c r="BD11" s="9" t="str">
        <f>N11</f>
        <v>2,3
6,7</v>
      </c>
      <c r="BE11" s="5" t="str">
        <f>O11</f>
        <v>2,4
6,8</v>
      </c>
      <c r="BF11" s="4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 t="str">
        <f>BD10</f>
        <v>1,2
5,6</v>
      </c>
      <c r="BU11" s="29" t="str">
        <f>BF10</f>
        <v>1,4
5,8</v>
      </c>
      <c r="BV11" s="3"/>
      <c r="BW11" s="3"/>
      <c r="BX11" s="3"/>
      <c r="BY11" s="3"/>
      <c r="BZ11" s="3"/>
      <c r="CA11" s="3" t="str">
        <f>BE10</f>
        <v>1,3
5,7</v>
      </c>
      <c r="CB11" s="27" t="s">
        <v>31</v>
      </c>
      <c r="CC11" s="3"/>
      <c r="CD11" s="3"/>
      <c r="CE11" s="3"/>
      <c r="CF11" s="3"/>
    </row>
    <row r="12" spans="1:84" x14ac:dyDescent="0.25">
      <c r="A12" s="3">
        <v>10</v>
      </c>
      <c r="B12" s="3">
        <v>10</v>
      </c>
      <c r="C12" s="9">
        <f t="shared" si="6"/>
        <v>3</v>
      </c>
      <c r="D12" s="7">
        <f t="shared" si="6"/>
        <v>4</v>
      </c>
      <c r="E12" s="5">
        <f t="shared" si="6"/>
        <v>5</v>
      </c>
      <c r="F12" s="4">
        <f t="shared" si="6"/>
        <v>6</v>
      </c>
      <c r="G12" s="9">
        <f t="shared" si="6"/>
        <v>7</v>
      </c>
      <c r="H12" s="7">
        <f t="shared" si="6"/>
        <v>8</v>
      </c>
      <c r="I12" s="5">
        <f t="shared" si="6"/>
        <v>9</v>
      </c>
      <c r="J12" s="4">
        <v>10</v>
      </c>
      <c r="K12" s="9" t="str">
        <f t="shared" si="8"/>
        <v>3,4
7,8</v>
      </c>
      <c r="L12" s="5"/>
      <c r="M12" s="4"/>
      <c r="N12" s="9" t="str">
        <f t="shared" si="0"/>
        <v>3,4
7,8</v>
      </c>
      <c r="O12" s="5">
        <f t="shared" si="1"/>
        <v>0</v>
      </c>
      <c r="P12" s="4">
        <f t="shared" si="2"/>
        <v>0</v>
      </c>
      <c r="Q12" s="30" t="s">
        <v>86</v>
      </c>
      <c r="R12" s="3"/>
      <c r="W12" s="3" t="s">
        <v>0</v>
      </c>
      <c r="X12" s="3"/>
      <c r="AB12" s="3">
        <f>AC11</f>
        <v>0</v>
      </c>
      <c r="AC12" s="3" t="str">
        <f>AD11</f>
        <v>1,2
5,6</v>
      </c>
      <c r="AD12" s="3" t="str">
        <f>N11</f>
        <v>2,3
6,7</v>
      </c>
      <c r="AE12" s="3"/>
      <c r="AF12" s="3">
        <f>AG11</f>
        <v>0</v>
      </c>
      <c r="AG12" s="3" t="str">
        <f>AH11</f>
        <v>1,3
5,7</v>
      </c>
      <c r="AH12" s="3" t="str">
        <f>O11</f>
        <v>2,4
6,8</v>
      </c>
      <c r="AI12" s="27" t="s">
        <v>30</v>
      </c>
      <c r="AM12" s="3"/>
      <c r="AN12" s="3"/>
      <c r="AO12" s="3"/>
      <c r="AP12" s="3">
        <v>10</v>
      </c>
      <c r="AQ12" s="3">
        <v>10</v>
      </c>
      <c r="AR12" s="9">
        <f t="shared" si="7"/>
        <v>3</v>
      </c>
      <c r="AS12" s="7">
        <f t="shared" si="7"/>
        <v>4</v>
      </c>
      <c r="AT12" s="5">
        <f t="shared" si="7"/>
        <v>5</v>
      </c>
      <c r="AU12" s="4">
        <f t="shared" si="7"/>
        <v>6</v>
      </c>
      <c r="AV12" s="9">
        <f t="shared" si="7"/>
        <v>7</v>
      </c>
      <c r="AW12" s="7">
        <f t="shared" si="7"/>
        <v>8</v>
      </c>
      <c r="AX12" s="5">
        <f t="shared" si="7"/>
        <v>9</v>
      </c>
      <c r="AY12" s="4">
        <v>10</v>
      </c>
      <c r="AZ12" s="9" t="str">
        <f t="shared" si="10"/>
        <v>3,4
7,8</v>
      </c>
      <c r="BA12" s="5"/>
      <c r="BB12" s="4"/>
      <c r="BC12" s="3"/>
      <c r="BD12" s="9" t="str">
        <f>N12</f>
        <v>3,4
7,8</v>
      </c>
      <c r="BE12" s="5" t="str">
        <f>S34</f>
        <v>9(2367)-10*(1357)</v>
      </c>
      <c r="BF12" s="4"/>
      <c r="BG12" s="30" t="s">
        <v>37</v>
      </c>
      <c r="BH12" s="3"/>
      <c r="BI12" s="30" t="s">
        <v>86</v>
      </c>
      <c r="BJ12" s="3"/>
      <c r="BK12" s="9" t="s">
        <v>50</v>
      </c>
      <c r="BL12" s="30" t="s">
        <v>37</v>
      </c>
      <c r="BM12" s="3" t="s">
        <v>0</v>
      </c>
      <c r="BN12" s="3"/>
      <c r="BO12" s="3"/>
      <c r="BP12" s="3"/>
      <c r="BQ12" s="3"/>
      <c r="BR12" s="3">
        <f>BS11</f>
        <v>0</v>
      </c>
      <c r="BS12" s="3" t="str">
        <f>BT11</f>
        <v>1,2
5,6</v>
      </c>
      <c r="BT12" s="3" t="str">
        <f>BD11</f>
        <v>2,3
6,7</v>
      </c>
      <c r="BU12" s="3"/>
      <c r="BV12" s="3"/>
      <c r="BW12" s="3"/>
      <c r="BX12" s="3"/>
      <c r="BY12" s="3">
        <f>BZ11</f>
        <v>0</v>
      </c>
      <c r="BZ12" s="3" t="str">
        <f>CA11</f>
        <v>1,3
5,7</v>
      </c>
      <c r="CA12" s="3" t="str">
        <f>BE11</f>
        <v>2,4
6,8</v>
      </c>
      <c r="CB12" s="27" t="s">
        <v>30</v>
      </c>
      <c r="CC12" s="3"/>
      <c r="CD12" s="3"/>
      <c r="CE12" s="3"/>
      <c r="CF12" s="3"/>
    </row>
    <row r="13" spans="1:84" x14ac:dyDescent="0.25">
      <c r="A13" s="3">
        <v>11</v>
      </c>
      <c r="B13" s="3">
        <v>11</v>
      </c>
      <c r="C13" s="9">
        <f t="shared" ref="C13:I14" si="12">D12</f>
        <v>4</v>
      </c>
      <c r="D13" s="7">
        <f t="shared" si="12"/>
        <v>5</v>
      </c>
      <c r="E13" s="5">
        <f t="shared" si="12"/>
        <v>6</v>
      </c>
      <c r="F13" s="4">
        <f t="shared" si="12"/>
        <v>7</v>
      </c>
      <c r="G13" s="9">
        <f t="shared" si="12"/>
        <v>8</v>
      </c>
      <c r="H13" s="7">
        <f t="shared" si="12"/>
        <v>9</v>
      </c>
      <c r="I13" s="5">
        <f t="shared" si="12"/>
        <v>10</v>
      </c>
      <c r="J13" s="4">
        <v>11</v>
      </c>
      <c r="K13" s="9" t="s">
        <v>0</v>
      </c>
      <c r="L13" s="5"/>
      <c r="M13" s="4"/>
      <c r="N13" s="9" t="s">
        <v>0</v>
      </c>
      <c r="O13" s="5">
        <f t="shared" ref="O13:O38" si="13">L13</f>
        <v>0</v>
      </c>
      <c r="P13" s="4">
        <f t="shared" ref="P13:P38" si="14">M13</f>
        <v>0</v>
      </c>
      <c r="Q13" s="31" t="s">
        <v>85</v>
      </c>
      <c r="R13" s="30" t="str">
        <f t="shared" ref="R13:R20" si="15">Q12</f>
        <v>9(2367)+11(1256)</v>
      </c>
      <c r="S13" s="53" t="s">
        <v>38</v>
      </c>
      <c r="T13" s="54"/>
      <c r="W13" s="3"/>
      <c r="X13" s="3"/>
      <c r="AB13" s="9" t="str">
        <f>AC12</f>
        <v>1,2
5,6</v>
      </c>
      <c r="AC13" s="9" t="str">
        <f>AD12</f>
        <v>2,3
6,7</v>
      </c>
      <c r="AD13" s="9" t="str">
        <f>N12</f>
        <v>3,4
7,8</v>
      </c>
      <c r="AE13" s="3"/>
      <c r="AF13" s="3">
        <f t="shared" ref="AF13:AH14" si="16">AF12</f>
        <v>0</v>
      </c>
      <c r="AG13" s="3" t="str">
        <f t="shared" si="16"/>
        <v>1,3
5,7</v>
      </c>
      <c r="AH13" s="3" t="str">
        <f t="shared" si="16"/>
        <v>2,4
6,8</v>
      </c>
      <c r="AI13" s="3" t="s">
        <v>29</v>
      </c>
      <c r="AM13" s="3"/>
      <c r="AN13" s="3"/>
      <c r="AO13" s="3"/>
      <c r="AP13" s="3">
        <v>11</v>
      </c>
      <c r="AQ13" s="3">
        <v>11</v>
      </c>
      <c r="AR13" s="9">
        <f t="shared" ref="AR13:AX14" si="17">AS12</f>
        <v>4</v>
      </c>
      <c r="AS13" s="7">
        <f t="shared" si="17"/>
        <v>5</v>
      </c>
      <c r="AT13" s="5">
        <f t="shared" si="17"/>
        <v>6</v>
      </c>
      <c r="AU13" s="4">
        <f t="shared" si="17"/>
        <v>7</v>
      </c>
      <c r="AV13" s="9">
        <f t="shared" si="17"/>
        <v>8</v>
      </c>
      <c r="AW13" s="7">
        <f t="shared" si="17"/>
        <v>9</v>
      </c>
      <c r="AX13" s="5">
        <f t="shared" si="17"/>
        <v>10</v>
      </c>
      <c r="AY13" s="4">
        <v>11</v>
      </c>
      <c r="AZ13" s="9" t="s">
        <v>0</v>
      </c>
      <c r="BA13" s="5"/>
      <c r="BB13" s="4"/>
      <c r="BC13" s="3"/>
      <c r="BD13" s="9" t="s">
        <v>0</v>
      </c>
      <c r="BE13" s="5" t="str">
        <f>S35</f>
        <v>+11(1256)</v>
      </c>
      <c r="BF13" s="4"/>
      <c r="BG13" s="9" t="s">
        <v>50</v>
      </c>
      <c r="BH13" s="5" t="s">
        <v>55</v>
      </c>
      <c r="BI13" s="31" t="s">
        <v>85</v>
      </c>
      <c r="BJ13" s="30" t="str">
        <f t="shared" ref="BJ13:BJ20" si="18">BI12</f>
        <v>9(2367)+11(1256)</v>
      </c>
      <c r="BK13" s="9"/>
      <c r="BL13" s="30"/>
      <c r="BM13" s="3"/>
      <c r="BN13" s="3"/>
      <c r="BO13" s="3"/>
      <c r="BP13" s="3"/>
      <c r="BQ13" s="3"/>
      <c r="BR13" s="9" t="str">
        <f>BS12</f>
        <v>1,2
5,6</v>
      </c>
      <c r="BS13" s="9" t="str">
        <f>BT12</f>
        <v>2,3
6,7</v>
      </c>
      <c r="BT13" s="9" t="str">
        <f>BD12</f>
        <v>3,4
7,8</v>
      </c>
      <c r="BU13" s="3"/>
      <c r="BV13" s="3"/>
      <c r="BW13" s="3"/>
      <c r="BX13" s="3"/>
      <c r="BY13" s="3">
        <f t="shared" ref="BY13:CA14" si="19">BY12</f>
        <v>0</v>
      </c>
      <c r="BZ13" s="3" t="str">
        <f t="shared" si="19"/>
        <v>1,3
5,7</v>
      </c>
      <c r="CA13" s="3" t="str">
        <f t="shared" si="19"/>
        <v>2,4
6,8</v>
      </c>
      <c r="CB13" s="3" t="s">
        <v>29</v>
      </c>
      <c r="CC13" s="3"/>
      <c r="CD13" s="3"/>
      <c r="CE13" s="3"/>
      <c r="CF13" s="3"/>
    </row>
    <row r="14" spans="1:84" x14ac:dyDescent="0.25">
      <c r="A14" s="3">
        <v>12</v>
      </c>
      <c r="B14" s="3">
        <v>12</v>
      </c>
      <c r="C14" s="9">
        <f t="shared" si="12"/>
        <v>5</v>
      </c>
      <c r="D14" s="7">
        <f t="shared" si="12"/>
        <v>6</v>
      </c>
      <c r="E14" s="5">
        <f t="shared" si="12"/>
        <v>7</v>
      </c>
      <c r="F14" s="4">
        <f t="shared" si="12"/>
        <v>8</v>
      </c>
      <c r="G14" s="9">
        <f t="shared" si="12"/>
        <v>9</v>
      </c>
      <c r="H14" s="7">
        <f t="shared" si="12"/>
        <v>10</v>
      </c>
      <c r="I14" s="5">
        <f t="shared" si="12"/>
        <v>11</v>
      </c>
      <c r="J14" s="4">
        <v>12</v>
      </c>
      <c r="K14" s="9" t="str">
        <f t="shared" si="8"/>
        <v>5,6
9,10</v>
      </c>
      <c r="L14" s="5" t="str">
        <f t="shared" si="9"/>
        <v>5,7
9,11</v>
      </c>
      <c r="M14" s="4"/>
      <c r="N14" s="9" t="str">
        <f>K14</f>
        <v>5,6
9,10</v>
      </c>
      <c r="O14" s="5" t="str">
        <f t="shared" si="13"/>
        <v>5,7
9,11</v>
      </c>
      <c r="P14" s="4">
        <f t="shared" si="14"/>
        <v>0</v>
      </c>
      <c r="Q14" s="9" t="s">
        <v>87</v>
      </c>
      <c r="R14" s="31" t="str">
        <f t="shared" si="15"/>
        <v>-10*(1357)</v>
      </c>
      <c r="S14" s="49" t="s">
        <v>60</v>
      </c>
      <c r="T14" s="55" t="str">
        <f>S13</f>
        <v>10(3478)-11(2468)</v>
      </c>
      <c r="W14" s="3"/>
      <c r="X14" s="3"/>
      <c r="Y14" s="3"/>
      <c r="Z14" s="3"/>
      <c r="AA14" s="3"/>
      <c r="AB14" s="3"/>
      <c r="AC14" s="3"/>
      <c r="AD14" s="3"/>
      <c r="AE14" s="3"/>
      <c r="AF14" s="3">
        <f t="shared" si="16"/>
        <v>0</v>
      </c>
      <c r="AG14" s="3" t="str">
        <f t="shared" si="16"/>
        <v>1,3
5,7</v>
      </c>
      <c r="AH14" s="3" t="str">
        <f t="shared" si="16"/>
        <v>2,4
6,8</v>
      </c>
      <c r="AI14" s="27" t="s">
        <v>28</v>
      </c>
      <c r="AM14" s="3"/>
      <c r="AN14" s="3"/>
      <c r="AO14" s="3"/>
      <c r="AP14" s="3">
        <v>12</v>
      </c>
      <c r="AQ14" s="3">
        <v>12</v>
      </c>
      <c r="AR14" s="9">
        <f t="shared" si="17"/>
        <v>5</v>
      </c>
      <c r="AS14" s="7">
        <f t="shared" si="17"/>
        <v>6</v>
      </c>
      <c r="AT14" s="5">
        <f t="shared" si="17"/>
        <v>7</v>
      </c>
      <c r="AU14" s="4">
        <f t="shared" si="17"/>
        <v>8</v>
      </c>
      <c r="AV14" s="9">
        <f t="shared" si="17"/>
        <v>9</v>
      </c>
      <c r="AW14" s="7">
        <f t="shared" si="17"/>
        <v>10</v>
      </c>
      <c r="AX14" s="5">
        <f t="shared" si="17"/>
        <v>11</v>
      </c>
      <c r="AY14" s="4">
        <v>12</v>
      </c>
      <c r="AZ14" s="9" t="str">
        <f t="shared" ref="AZ14:AZ16" si="20">AR14 &amp; "," &amp; AS14 &amp; CHAR(10) &amp; AV14 &amp; "," &amp; AW14</f>
        <v>5,6
9,10</v>
      </c>
      <c r="BA14" s="5" t="str">
        <f t="shared" ref="BA14:BA15" si="21">AR14 &amp; "," &amp; AT14 &amp; CHAR(10) &amp; AV14 &amp; "," &amp; AX14</f>
        <v>5,7
9,11</v>
      </c>
      <c r="BB14" s="4"/>
      <c r="BC14" s="3"/>
      <c r="BD14" s="9">
        <f>P14</f>
        <v>0</v>
      </c>
      <c r="BE14" s="5" t="str">
        <f>O14</f>
        <v>5,7
9,11</v>
      </c>
      <c r="BF14" s="4"/>
      <c r="BG14" s="4" t="s">
        <v>51</v>
      </c>
      <c r="BH14" s="9" t="s">
        <v>54</v>
      </c>
      <c r="BI14" s="9" t="s">
        <v>87</v>
      </c>
      <c r="BJ14" s="31" t="str">
        <f t="shared" si="18"/>
        <v>-10*(1357)</v>
      </c>
      <c r="BK14" s="31" t="s">
        <v>63</v>
      </c>
      <c r="BL14" s="30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>
        <f t="shared" si="19"/>
        <v>0</v>
      </c>
      <c r="BZ14" s="3" t="str">
        <f t="shared" si="19"/>
        <v>1,3
5,7</v>
      </c>
      <c r="CA14" s="3" t="str">
        <f t="shared" si="19"/>
        <v>2,4
6,8</v>
      </c>
      <c r="CB14" s="27" t="s">
        <v>28</v>
      </c>
      <c r="CC14" s="3"/>
      <c r="CD14" s="3"/>
      <c r="CE14" s="3"/>
      <c r="CF14" s="3"/>
    </row>
    <row r="15" spans="1:84" x14ac:dyDescent="0.25">
      <c r="A15" s="3">
        <v>13</v>
      </c>
      <c r="B15" s="3">
        <v>13</v>
      </c>
      <c r="C15" s="9">
        <f t="shared" si="6"/>
        <v>6</v>
      </c>
      <c r="D15" s="7">
        <f t="shared" si="6"/>
        <v>7</v>
      </c>
      <c r="E15" s="5">
        <f t="shared" si="6"/>
        <v>8</v>
      </c>
      <c r="F15" s="4">
        <f t="shared" si="6"/>
        <v>9</v>
      </c>
      <c r="G15" s="9">
        <f t="shared" si="6"/>
        <v>10</v>
      </c>
      <c r="H15" s="7">
        <f t="shared" si="6"/>
        <v>11</v>
      </c>
      <c r="I15" s="5">
        <f t="shared" si="6"/>
        <v>12</v>
      </c>
      <c r="J15" s="4">
        <v>13</v>
      </c>
      <c r="K15" s="9" t="str">
        <f t="shared" si="8"/>
        <v>6,7
10,11</v>
      </c>
      <c r="L15" s="5" t="str">
        <f t="shared" si="9"/>
        <v>6,8
10,12</v>
      </c>
      <c r="M15" s="4"/>
      <c r="N15" s="9" t="str">
        <f>K15</f>
        <v>6,7
10,11</v>
      </c>
      <c r="O15" s="5" t="str">
        <f t="shared" si="13"/>
        <v>6,8
10,12</v>
      </c>
      <c r="P15" s="4">
        <f t="shared" si="14"/>
        <v>0</v>
      </c>
      <c r="Q15" s="34" t="s">
        <v>88</v>
      </c>
      <c r="R15" s="9" t="str">
        <f t="shared" si="15"/>
        <v>9(2468)+12(1256)</v>
      </c>
      <c r="S15" s="45" t="s">
        <v>51</v>
      </c>
      <c r="T15" s="55" t="str">
        <f t="shared" ref="T15:T21" si="22">S14</f>
        <v>+12(2367)</v>
      </c>
      <c r="U15" s="35" t="s">
        <v>106</v>
      </c>
      <c r="V15" s="4" t="s">
        <v>66</v>
      </c>
      <c r="W15" s="3"/>
      <c r="X15" s="3"/>
      <c r="Y15" s="3"/>
      <c r="Z15" s="3"/>
      <c r="AA15" s="3"/>
      <c r="AB15" s="3"/>
      <c r="AC15" s="3"/>
      <c r="AD15" s="3"/>
      <c r="AE15" s="3"/>
      <c r="AF15" s="3" t="str">
        <f>AG14</f>
        <v>1,3
5,7</v>
      </c>
      <c r="AG15" s="3" t="str">
        <f>AH14</f>
        <v>2,4
6,8</v>
      </c>
      <c r="AH15" s="3" t="str">
        <f>O14</f>
        <v>5,7
9,11</v>
      </c>
      <c r="AI15" s="27" t="s">
        <v>27</v>
      </c>
      <c r="AM15" s="3"/>
      <c r="AN15" s="3"/>
      <c r="AO15" s="3"/>
      <c r="AP15" s="3">
        <v>13</v>
      </c>
      <c r="AQ15" s="3">
        <v>13</v>
      </c>
      <c r="AR15" s="9">
        <f t="shared" si="7"/>
        <v>6</v>
      </c>
      <c r="AS15" s="7">
        <f t="shared" si="7"/>
        <v>7</v>
      </c>
      <c r="AT15" s="5">
        <f t="shared" si="7"/>
        <v>8</v>
      </c>
      <c r="AU15" s="4">
        <f t="shared" si="7"/>
        <v>9</v>
      </c>
      <c r="AV15" s="9">
        <f t="shared" si="7"/>
        <v>10</v>
      </c>
      <c r="AW15" s="7">
        <f t="shared" si="7"/>
        <v>11</v>
      </c>
      <c r="AX15" s="5">
        <f t="shared" si="7"/>
        <v>12</v>
      </c>
      <c r="AY15" s="4">
        <v>13</v>
      </c>
      <c r="AZ15" s="9" t="str">
        <f t="shared" si="20"/>
        <v>6,7
10,11</v>
      </c>
      <c r="BA15" s="5" t="str">
        <f t="shared" si="21"/>
        <v>6,8
10,12</v>
      </c>
      <c r="BB15" s="4"/>
      <c r="BC15" s="3"/>
      <c r="BD15" s="9">
        <f>P15</f>
        <v>0</v>
      </c>
      <c r="BE15" s="5" t="str">
        <f>O15</f>
        <v>6,8
10,12</v>
      </c>
      <c r="BF15" s="4"/>
      <c r="BG15" s="32" t="s">
        <v>38</v>
      </c>
      <c r="BH15" s="4" t="s">
        <v>53</v>
      </c>
      <c r="BI15" s="34" t="s">
        <v>88</v>
      </c>
      <c r="BJ15" s="9" t="str">
        <f t="shared" si="18"/>
        <v>9(2468)+12(1256)</v>
      </c>
      <c r="BK15" s="31" t="s">
        <v>63</v>
      </c>
      <c r="BL15" s="31" t="s">
        <v>63</v>
      </c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tr">
        <f>BZ14</f>
        <v>1,3
5,7</v>
      </c>
      <c r="BZ15" s="3" t="str">
        <f>CA14</f>
        <v>2,4
6,8</v>
      </c>
      <c r="CA15" s="3" t="str">
        <f>BE14</f>
        <v>5,7
9,11</v>
      </c>
      <c r="CB15" s="27" t="s">
        <v>27</v>
      </c>
      <c r="CC15" s="3"/>
      <c r="CD15" s="3"/>
      <c r="CE15" s="3"/>
      <c r="CF15" s="3"/>
    </row>
    <row r="16" spans="1:84" x14ac:dyDescent="0.25">
      <c r="A16" s="3">
        <v>14</v>
      </c>
      <c r="B16" s="3">
        <v>14</v>
      </c>
      <c r="C16" s="9">
        <f t="shared" si="6"/>
        <v>7</v>
      </c>
      <c r="D16" s="7">
        <f t="shared" si="6"/>
        <v>8</v>
      </c>
      <c r="E16" s="5">
        <f t="shared" si="6"/>
        <v>9</v>
      </c>
      <c r="F16" s="4">
        <f t="shared" si="6"/>
        <v>10</v>
      </c>
      <c r="G16" s="9">
        <f t="shared" si="6"/>
        <v>11</v>
      </c>
      <c r="H16" s="7">
        <f t="shared" si="6"/>
        <v>12</v>
      </c>
      <c r="I16" s="5">
        <f t="shared" si="6"/>
        <v>13</v>
      </c>
      <c r="J16" s="4">
        <v>14</v>
      </c>
      <c r="K16" s="9" t="str">
        <f t="shared" si="8"/>
        <v>7,8
11,12</v>
      </c>
      <c r="L16" s="5"/>
      <c r="M16" s="4"/>
      <c r="N16" s="9" t="str">
        <f>K16</f>
        <v>7,8
11,12</v>
      </c>
      <c r="O16" s="5">
        <f t="shared" si="13"/>
        <v>0</v>
      </c>
      <c r="P16" s="4">
        <f t="shared" si="14"/>
        <v>0</v>
      </c>
      <c r="Q16" s="4" t="s">
        <v>89</v>
      </c>
      <c r="R16" s="34" t="str">
        <f t="shared" si="15"/>
        <v>-10(1458)</v>
      </c>
      <c r="S16" s="46" t="s">
        <v>95</v>
      </c>
      <c r="T16" s="55" t="str">
        <f t="shared" si="22"/>
        <v>9(3478)-11(1458)</v>
      </c>
      <c r="U16" s="35" t="s">
        <v>64</v>
      </c>
      <c r="V16" s="35" t="s">
        <v>67</v>
      </c>
      <c r="W16" s="3"/>
      <c r="X16" s="3"/>
      <c r="Y16" s="3"/>
      <c r="Z16" s="3"/>
      <c r="AA16" s="3"/>
      <c r="AB16" s="3"/>
      <c r="AC16" s="3"/>
      <c r="AD16" s="3"/>
      <c r="AE16" s="28" t="str">
        <f>AF15</f>
        <v>1,3
5,7</v>
      </c>
      <c r="AF16" s="28" t="str">
        <f>AG15</f>
        <v>2,4
6,8</v>
      </c>
      <c r="AG16" s="28" t="str">
        <f>AH15</f>
        <v>5,7
9,11</v>
      </c>
      <c r="AH16" s="28" t="str">
        <f>O15</f>
        <v>6,8
10,12</v>
      </c>
      <c r="AI16" s="27" t="s">
        <v>26</v>
      </c>
      <c r="AM16" s="3"/>
      <c r="AN16" s="3"/>
      <c r="AO16" s="3"/>
      <c r="AP16" s="3">
        <v>14</v>
      </c>
      <c r="AQ16" s="3">
        <v>14</v>
      </c>
      <c r="AR16" s="9">
        <f t="shared" si="7"/>
        <v>7</v>
      </c>
      <c r="AS16" s="7">
        <f t="shared" si="7"/>
        <v>8</v>
      </c>
      <c r="AT16" s="5">
        <f t="shared" si="7"/>
        <v>9</v>
      </c>
      <c r="AU16" s="4">
        <f t="shared" si="7"/>
        <v>10</v>
      </c>
      <c r="AV16" s="9">
        <f t="shared" si="7"/>
        <v>11</v>
      </c>
      <c r="AW16" s="7">
        <f t="shared" si="7"/>
        <v>12</v>
      </c>
      <c r="AX16" s="5">
        <f t="shared" si="7"/>
        <v>13</v>
      </c>
      <c r="AY16" s="4">
        <v>14</v>
      </c>
      <c r="AZ16" s="9" t="str">
        <f t="shared" si="20"/>
        <v>7,8
11,12</v>
      </c>
      <c r="BA16" s="5"/>
      <c r="BB16" s="4"/>
      <c r="BC16" s="3"/>
      <c r="BD16" s="9">
        <f>P16</f>
        <v>0</v>
      </c>
      <c r="BE16" s="5"/>
      <c r="BF16" s="4"/>
      <c r="BG16" s="32"/>
      <c r="BH16" s="33" t="s">
        <v>52</v>
      </c>
      <c r="BI16" s="4" t="s">
        <v>89</v>
      </c>
      <c r="BJ16" s="34" t="str">
        <f t="shared" si="18"/>
        <v>-10(1458)</v>
      </c>
      <c r="BK16" s="9" t="s">
        <v>61</v>
      </c>
      <c r="BL16" s="31" t="s">
        <v>63</v>
      </c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28" t="str">
        <f>BY15</f>
        <v>1,3
5,7</v>
      </c>
      <c r="BY16" s="28" t="str">
        <f>BZ15</f>
        <v>2,4
6,8</v>
      </c>
      <c r="BZ16" s="28" t="str">
        <f>CA15</f>
        <v>5,7
9,11</v>
      </c>
      <c r="CA16" s="28" t="str">
        <f>BE15</f>
        <v>6,8
10,12</v>
      </c>
      <c r="CB16" s="27" t="s">
        <v>26</v>
      </c>
      <c r="CC16" s="3"/>
      <c r="CD16" s="3"/>
      <c r="CE16" s="3"/>
      <c r="CF16" s="3"/>
    </row>
    <row r="17" spans="1:84" x14ac:dyDescent="0.25">
      <c r="A17" s="3">
        <v>15</v>
      </c>
      <c r="B17" s="3">
        <v>15</v>
      </c>
      <c r="C17" s="9">
        <f t="shared" si="6"/>
        <v>8</v>
      </c>
      <c r="D17" s="7">
        <f t="shared" si="6"/>
        <v>9</v>
      </c>
      <c r="E17" s="5">
        <f t="shared" si="6"/>
        <v>10</v>
      </c>
      <c r="F17" s="4">
        <f t="shared" si="6"/>
        <v>11</v>
      </c>
      <c r="G17" s="9">
        <f t="shared" si="6"/>
        <v>12</v>
      </c>
      <c r="H17" s="7">
        <f t="shared" si="6"/>
        <v>13</v>
      </c>
      <c r="I17" s="5">
        <f t="shared" si="6"/>
        <v>14</v>
      </c>
      <c r="J17" s="4">
        <v>15</v>
      </c>
      <c r="K17" s="9" t="s">
        <v>0</v>
      </c>
      <c r="L17" s="5"/>
      <c r="M17" s="4"/>
      <c r="N17" s="9" t="s">
        <v>0</v>
      </c>
      <c r="O17" s="5">
        <f t="shared" si="13"/>
        <v>0</v>
      </c>
      <c r="P17" s="4">
        <f t="shared" si="14"/>
        <v>0</v>
      </c>
      <c r="Q17" s="38" t="s">
        <v>90</v>
      </c>
      <c r="R17" s="4" t="str">
        <f t="shared" si="15"/>
        <v>9(3478)+12(1357)</v>
      </c>
      <c r="S17" s="37" t="s">
        <v>50</v>
      </c>
      <c r="T17" s="55" t="str">
        <f t="shared" si="22"/>
        <v>+12(1357)</v>
      </c>
      <c r="U17" s="4" t="s">
        <v>105</v>
      </c>
      <c r="V17" s="35" t="s">
        <v>67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 t="s">
        <v>25</v>
      </c>
      <c r="AM17" s="3"/>
      <c r="AN17" s="3"/>
      <c r="AO17" s="3"/>
      <c r="AP17" s="3">
        <v>15</v>
      </c>
      <c r="AQ17" s="3">
        <v>15</v>
      </c>
      <c r="AR17" s="9">
        <f t="shared" si="7"/>
        <v>8</v>
      </c>
      <c r="AS17" s="7">
        <f t="shared" si="7"/>
        <v>9</v>
      </c>
      <c r="AT17" s="5">
        <f t="shared" si="7"/>
        <v>10</v>
      </c>
      <c r="AU17" s="4">
        <f t="shared" si="7"/>
        <v>11</v>
      </c>
      <c r="AV17" s="9">
        <f t="shared" si="7"/>
        <v>12</v>
      </c>
      <c r="AW17" s="7">
        <f t="shared" si="7"/>
        <v>13</v>
      </c>
      <c r="AX17" s="5">
        <f t="shared" si="7"/>
        <v>14</v>
      </c>
      <c r="AY17" s="4">
        <v>15</v>
      </c>
      <c r="AZ17" s="9" t="s">
        <v>0</v>
      </c>
      <c r="BA17" s="5"/>
      <c r="BB17" s="4"/>
      <c r="BC17" s="3"/>
      <c r="BD17" s="9" t="s">
        <v>0</v>
      </c>
      <c r="BE17" s="5"/>
      <c r="BF17" s="4"/>
      <c r="BG17" s="32"/>
      <c r="BH17" s="4"/>
      <c r="BI17" s="38" t="s">
        <v>90</v>
      </c>
      <c r="BJ17" s="4" t="str">
        <f t="shared" si="18"/>
        <v>9(3478)+12(1357)</v>
      </c>
      <c r="BK17" s="9" t="s">
        <v>61</v>
      </c>
      <c r="BL17" s="9" t="s">
        <v>65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 t="s">
        <v>25</v>
      </c>
      <c r="CC17" s="3"/>
      <c r="CD17" s="3"/>
      <c r="CE17" s="3"/>
      <c r="CF17" s="3"/>
    </row>
    <row r="18" spans="1:84" x14ac:dyDescent="0.25">
      <c r="A18" s="3">
        <v>16</v>
      </c>
      <c r="B18" s="3">
        <v>16</v>
      </c>
      <c r="C18" s="9">
        <f t="shared" si="6"/>
        <v>9</v>
      </c>
      <c r="D18" s="7">
        <f t="shared" si="6"/>
        <v>10</v>
      </c>
      <c r="E18" s="5">
        <f t="shared" si="6"/>
        <v>11</v>
      </c>
      <c r="F18" s="4">
        <f t="shared" si="6"/>
        <v>12</v>
      </c>
      <c r="G18" s="9">
        <f t="shared" si="6"/>
        <v>13</v>
      </c>
      <c r="H18" s="7">
        <f t="shared" si="6"/>
        <v>14</v>
      </c>
      <c r="I18" s="5">
        <f t="shared" si="6"/>
        <v>15</v>
      </c>
      <c r="J18" s="4">
        <v>16</v>
      </c>
      <c r="K18" s="9" t="str">
        <f t="shared" si="8"/>
        <v>9,10
13,14</v>
      </c>
      <c r="L18" s="5"/>
      <c r="M18" s="4"/>
      <c r="N18" s="9" t="s">
        <v>0</v>
      </c>
      <c r="O18" s="5">
        <f t="shared" si="13"/>
        <v>0</v>
      </c>
      <c r="P18" s="4">
        <f t="shared" si="14"/>
        <v>0</v>
      </c>
      <c r="Q18" s="32" t="s">
        <v>91</v>
      </c>
      <c r="R18" s="4" t="str">
        <f t="shared" si="15"/>
        <v>-11(1458)</v>
      </c>
      <c r="S18" s="43" t="s">
        <v>58</v>
      </c>
      <c r="T18" s="55" t="str">
        <f t="shared" si="22"/>
        <v>9(2468)-10(1458)</v>
      </c>
      <c r="U18" s="4" t="s">
        <v>62</v>
      </c>
      <c r="V18" s="4" t="s">
        <v>66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27" t="s">
        <v>24</v>
      </c>
      <c r="AM18" s="3"/>
      <c r="AN18" s="3"/>
      <c r="AO18" s="3"/>
      <c r="AP18" s="3">
        <v>16</v>
      </c>
      <c r="AQ18" s="3">
        <v>16</v>
      </c>
      <c r="AR18" s="9">
        <f t="shared" si="7"/>
        <v>9</v>
      </c>
      <c r="AS18" s="7">
        <f t="shared" si="7"/>
        <v>10</v>
      </c>
      <c r="AT18" s="5">
        <f t="shared" si="7"/>
        <v>11</v>
      </c>
      <c r="AU18" s="4">
        <f t="shared" si="7"/>
        <v>12</v>
      </c>
      <c r="AV18" s="9">
        <f t="shared" si="7"/>
        <v>13</v>
      </c>
      <c r="AW18" s="7">
        <f t="shared" si="7"/>
        <v>14</v>
      </c>
      <c r="AX18" s="5">
        <f t="shared" si="7"/>
        <v>15</v>
      </c>
      <c r="AY18" s="4">
        <v>16</v>
      </c>
      <c r="AZ18" s="9" t="str">
        <f t="shared" ref="AZ18:AZ20" si="23">AR18 &amp; "," &amp; AS18 &amp; CHAR(10) &amp; AV18 &amp; "," &amp; AW18</f>
        <v>9,10
13,14</v>
      </c>
      <c r="BA18" s="5"/>
      <c r="BB18" s="4"/>
      <c r="BC18" s="3"/>
      <c r="BD18" s="9" t="s">
        <v>0</v>
      </c>
      <c r="BE18" s="5"/>
      <c r="BF18" s="4"/>
      <c r="BG18" s="32"/>
      <c r="BH18" s="4"/>
      <c r="BI18" s="32" t="s">
        <v>91</v>
      </c>
      <c r="BJ18" s="4" t="str">
        <f t="shared" si="18"/>
        <v>-11(1458)</v>
      </c>
      <c r="BK18" s="4" t="s">
        <v>62</v>
      </c>
      <c r="BL18" s="9" t="s">
        <v>65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27" t="s">
        <v>24</v>
      </c>
      <c r="CC18" s="3"/>
      <c r="CD18" s="3"/>
      <c r="CE18" s="3"/>
      <c r="CF18" s="3"/>
    </row>
    <row r="19" spans="1:84" x14ac:dyDescent="0.25">
      <c r="A19" s="3">
        <v>17</v>
      </c>
      <c r="B19" s="3"/>
      <c r="C19" s="9"/>
      <c r="D19" s="7"/>
      <c r="E19" s="5"/>
      <c r="F19" s="4"/>
      <c r="G19" s="9"/>
      <c r="H19" s="7"/>
      <c r="I19" s="5"/>
      <c r="J19" s="4"/>
      <c r="K19" s="9" t="str">
        <f t="shared" si="8"/>
        <v>,
,</v>
      </c>
      <c r="L19" s="5"/>
      <c r="M19" s="4"/>
      <c r="N19" s="9" t="s">
        <v>0</v>
      </c>
      <c r="O19" s="5">
        <f t="shared" si="13"/>
        <v>0</v>
      </c>
      <c r="P19" s="4">
        <f t="shared" si="14"/>
        <v>0</v>
      </c>
      <c r="Q19" s="33" t="s">
        <v>92</v>
      </c>
      <c r="R19" s="32" t="str">
        <f t="shared" si="15"/>
        <v>10(3478)+12(2367)</v>
      </c>
      <c r="S19" s="39" t="s">
        <v>94</v>
      </c>
      <c r="T19" s="55" t="str">
        <f t="shared" si="22"/>
        <v>+12(1256)</v>
      </c>
      <c r="U19" s="9" t="s">
        <v>104</v>
      </c>
      <c r="V19" s="4" t="s">
        <v>66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27"/>
      <c r="AK19" s="3"/>
      <c r="AL19" s="3"/>
      <c r="AM19" s="3"/>
      <c r="AN19" s="3"/>
      <c r="AO19" s="3"/>
      <c r="AP19" s="3">
        <v>17</v>
      </c>
      <c r="AQ19" s="3" t="s">
        <v>10</v>
      </c>
      <c r="AR19" s="9">
        <f t="shared" si="7"/>
        <v>10</v>
      </c>
      <c r="AS19" s="7">
        <f t="shared" si="7"/>
        <v>11</v>
      </c>
      <c r="AT19" s="5">
        <f t="shared" si="7"/>
        <v>12</v>
      </c>
      <c r="AU19" s="4">
        <f t="shared" si="7"/>
        <v>13</v>
      </c>
      <c r="AV19" s="9">
        <f t="shared" si="7"/>
        <v>14</v>
      </c>
      <c r="AW19" s="7">
        <f t="shared" si="7"/>
        <v>15</v>
      </c>
      <c r="AX19" s="5">
        <f t="shared" si="7"/>
        <v>16</v>
      </c>
      <c r="AY19" s="4">
        <v>0</v>
      </c>
      <c r="AZ19" s="9" t="str">
        <f t="shared" si="23"/>
        <v>10,11
14,15</v>
      </c>
      <c r="BA19" s="5"/>
      <c r="BB19" s="4"/>
      <c r="BC19" s="3"/>
      <c r="BD19" s="9" t="s">
        <v>0</v>
      </c>
      <c r="BE19" s="5"/>
      <c r="BF19" s="4"/>
      <c r="BG19" s="32"/>
      <c r="BH19" s="4"/>
      <c r="BI19" s="33" t="s">
        <v>92</v>
      </c>
      <c r="BJ19" s="32" t="str">
        <f t="shared" si="18"/>
        <v>10(3478)+12(2367)</v>
      </c>
      <c r="BK19" s="4" t="s">
        <v>62</v>
      </c>
      <c r="BL19" s="4" t="s">
        <v>66</v>
      </c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27"/>
      <c r="CA19" s="3"/>
      <c r="CB19" s="3"/>
      <c r="CC19" s="3"/>
      <c r="CD19" s="3"/>
      <c r="CE19" s="3"/>
      <c r="CF19" s="3"/>
    </row>
    <row r="20" spans="1:84" x14ac:dyDescent="0.25">
      <c r="A20" s="3">
        <v>18</v>
      </c>
      <c r="B20" s="3"/>
      <c r="C20" s="9"/>
      <c r="D20" s="7"/>
      <c r="E20" s="5"/>
      <c r="F20" s="4"/>
      <c r="G20" s="9"/>
      <c r="H20" s="7"/>
      <c r="I20" s="5"/>
      <c r="J20" s="4"/>
      <c r="K20" s="9" t="str">
        <f t="shared" si="8"/>
        <v>,
,</v>
      </c>
      <c r="L20" s="5"/>
      <c r="M20" s="4"/>
      <c r="N20" s="9" t="s">
        <v>0</v>
      </c>
      <c r="O20" s="5">
        <f t="shared" si="13"/>
        <v>0</v>
      </c>
      <c r="P20" s="4">
        <f t="shared" si="14"/>
        <v>0</v>
      </c>
      <c r="Q20" s="32"/>
      <c r="R20" s="35" t="str">
        <f t="shared" si="15"/>
        <v>-11(2468)</v>
      </c>
      <c r="S20" s="41" t="s">
        <v>57</v>
      </c>
      <c r="T20" s="55" t="str">
        <f t="shared" si="22"/>
        <v>9(2367)-10*(1357)</v>
      </c>
      <c r="U20" s="9" t="s">
        <v>61</v>
      </c>
      <c r="V20" s="9" t="s">
        <v>65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>
        <v>18</v>
      </c>
      <c r="AQ20" s="3" t="s">
        <v>10</v>
      </c>
      <c r="AR20" s="9">
        <f t="shared" ref="AR20:AX20" si="24">AS19</f>
        <v>11</v>
      </c>
      <c r="AS20" s="7">
        <f t="shared" si="24"/>
        <v>12</v>
      </c>
      <c r="AT20" s="5">
        <f t="shared" si="24"/>
        <v>13</v>
      </c>
      <c r="AU20" s="4">
        <f t="shared" si="24"/>
        <v>14</v>
      </c>
      <c r="AV20" s="9">
        <f t="shared" si="24"/>
        <v>15</v>
      </c>
      <c r="AW20" s="7">
        <f t="shared" si="24"/>
        <v>16</v>
      </c>
      <c r="AX20" s="5">
        <f t="shared" si="24"/>
        <v>0</v>
      </c>
      <c r="AY20" s="4">
        <v>0</v>
      </c>
      <c r="AZ20" s="9" t="str">
        <f t="shared" si="23"/>
        <v>11,12
15,16</v>
      </c>
      <c r="BA20" s="5"/>
      <c r="BB20" s="4"/>
      <c r="BC20" s="3"/>
      <c r="BD20" s="9" t="s">
        <v>0</v>
      </c>
      <c r="BE20" s="5"/>
      <c r="BF20" s="4"/>
      <c r="BG20" s="32"/>
      <c r="BH20" s="4"/>
      <c r="BI20" s="32"/>
      <c r="BJ20" s="35" t="str">
        <f t="shared" si="18"/>
        <v>-11(2468)</v>
      </c>
      <c r="BK20" s="35" t="s">
        <v>64</v>
      </c>
      <c r="BL20" s="4" t="s">
        <v>66</v>
      </c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</row>
    <row r="21" spans="1:84" x14ac:dyDescent="0.25">
      <c r="A21" s="3">
        <v>19</v>
      </c>
      <c r="B21" s="3"/>
      <c r="C21" s="9" t="s">
        <v>0</v>
      </c>
      <c r="D21" s="7"/>
      <c r="E21" s="5"/>
      <c r="F21" s="4"/>
      <c r="G21" s="9"/>
      <c r="H21" s="7"/>
      <c r="I21" s="5"/>
      <c r="J21" s="4"/>
      <c r="K21" s="9"/>
      <c r="L21" s="5"/>
      <c r="M21" s="4"/>
      <c r="N21" s="9">
        <f t="shared" ref="N21:N38" si="25">K21</f>
        <v>0</v>
      </c>
      <c r="O21" s="5">
        <f t="shared" si="13"/>
        <v>0</v>
      </c>
      <c r="P21" s="4">
        <f t="shared" si="14"/>
        <v>0</v>
      </c>
      <c r="Q21" s="32"/>
      <c r="R21" s="4"/>
      <c r="S21" s="56"/>
      <c r="T21" s="57" t="str">
        <f t="shared" si="22"/>
        <v>+11(1256)</v>
      </c>
      <c r="U21" s="31" t="s">
        <v>103</v>
      </c>
      <c r="V21" s="9" t="s">
        <v>65</v>
      </c>
      <c r="W21" s="3" t="s">
        <v>70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>
        <v>19</v>
      </c>
      <c r="AQ21" s="3"/>
      <c r="AR21" s="9" t="s">
        <v>0</v>
      </c>
      <c r="AS21" s="7"/>
      <c r="AT21" s="5"/>
      <c r="AU21" s="4"/>
      <c r="AV21" s="9"/>
      <c r="AW21" s="7"/>
      <c r="AX21" s="5"/>
      <c r="AY21" s="4"/>
      <c r="AZ21" s="9"/>
      <c r="BA21" s="5"/>
      <c r="BB21" s="4"/>
      <c r="BC21" s="3"/>
      <c r="BD21" s="9">
        <f t="shared" ref="BD21:BD38" si="26">P21</f>
        <v>0</v>
      </c>
      <c r="BE21" s="5"/>
      <c r="BF21" s="4"/>
      <c r="BG21" s="32"/>
      <c r="BH21" s="4"/>
      <c r="BI21" s="32"/>
      <c r="BJ21" s="4"/>
      <c r="BK21" s="35" t="s">
        <v>64</v>
      </c>
      <c r="BL21" s="35" t="s">
        <v>67</v>
      </c>
      <c r="BM21" s="3" t="s">
        <v>70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</row>
    <row r="22" spans="1:84" x14ac:dyDescent="0.25">
      <c r="A22" s="3">
        <v>20</v>
      </c>
      <c r="B22" s="3"/>
      <c r="C22" s="9"/>
      <c r="D22" s="7"/>
      <c r="E22" s="5"/>
      <c r="F22" s="4"/>
      <c r="G22" s="9"/>
      <c r="H22" s="7"/>
      <c r="I22" s="5"/>
      <c r="J22" s="4"/>
      <c r="K22" s="9"/>
      <c r="L22" s="5"/>
      <c r="M22" s="4"/>
      <c r="N22" s="9">
        <f t="shared" si="25"/>
        <v>0</v>
      </c>
      <c r="O22" s="5">
        <f t="shared" si="13"/>
        <v>0</v>
      </c>
      <c r="P22" s="4">
        <f t="shared" si="14"/>
        <v>0</v>
      </c>
      <c r="Q22" s="32"/>
      <c r="R22" s="4"/>
      <c r="U22" s="31" t="s">
        <v>63</v>
      </c>
      <c r="V22" s="31" t="str">
        <f>U21</f>
        <v>o_end 16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>
        <v>20</v>
      </c>
      <c r="AQ22" s="3"/>
      <c r="AR22" s="9"/>
      <c r="AS22" s="7"/>
      <c r="AT22" s="5"/>
      <c r="AU22" s="4"/>
      <c r="AV22" s="9"/>
      <c r="AW22" s="7"/>
      <c r="AX22" s="5"/>
      <c r="AY22" s="4"/>
      <c r="AZ22" s="9"/>
      <c r="BA22" s="5"/>
      <c r="BB22" s="4"/>
      <c r="BC22" s="3"/>
      <c r="BD22" s="9">
        <f t="shared" si="26"/>
        <v>0</v>
      </c>
      <c r="BE22" s="5"/>
      <c r="BF22" s="4"/>
      <c r="BG22" s="32"/>
      <c r="BH22" s="4"/>
      <c r="BI22" s="32"/>
      <c r="BJ22" s="4"/>
      <c r="BK22" s="3"/>
      <c r="BL22" s="35" t="s">
        <v>67</v>
      </c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</row>
    <row r="23" spans="1:84" x14ac:dyDescent="0.25">
      <c r="A23" s="3">
        <v>21</v>
      </c>
      <c r="B23" s="3"/>
      <c r="C23" s="9"/>
      <c r="D23" s="7"/>
      <c r="E23" s="5"/>
      <c r="F23" s="4"/>
      <c r="G23" s="9"/>
      <c r="H23" s="7"/>
      <c r="I23" s="5"/>
      <c r="J23" s="4"/>
      <c r="K23" s="9"/>
      <c r="L23" s="5"/>
      <c r="M23" s="4"/>
      <c r="N23" s="9">
        <f t="shared" si="25"/>
        <v>0</v>
      </c>
      <c r="O23" s="5">
        <f t="shared" si="13"/>
        <v>0</v>
      </c>
      <c r="P23" s="4">
        <f t="shared" si="14"/>
        <v>0</v>
      </c>
      <c r="Q23" s="30"/>
      <c r="R23" s="3"/>
      <c r="U23" s="9" t="s">
        <v>104</v>
      </c>
      <c r="V23" s="31" t="s">
        <v>63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>
        <v>21</v>
      </c>
      <c r="AQ23" s="3"/>
      <c r="AR23" s="9"/>
      <c r="AS23" s="7"/>
      <c r="AT23" s="5"/>
      <c r="AU23" s="4"/>
      <c r="AV23" s="9"/>
      <c r="AW23" s="7"/>
      <c r="AX23" s="5"/>
      <c r="AY23" s="4"/>
      <c r="AZ23" s="9"/>
      <c r="BA23" s="5"/>
      <c r="BB23" s="4"/>
      <c r="BC23" s="3"/>
      <c r="BD23" s="9">
        <f t="shared" si="26"/>
        <v>0</v>
      </c>
      <c r="BE23" s="5"/>
      <c r="BF23" s="4"/>
      <c r="BG23" s="32"/>
      <c r="BH23" s="4"/>
      <c r="BI23" s="32"/>
      <c r="BJ23" s="4"/>
      <c r="BK23" s="9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</row>
    <row r="24" spans="1:84" x14ac:dyDescent="0.25">
      <c r="A24" s="3">
        <v>22</v>
      </c>
      <c r="B24" s="3"/>
      <c r="C24" s="9"/>
      <c r="D24" s="7"/>
      <c r="E24" s="5"/>
      <c r="F24" s="4"/>
      <c r="G24" s="9"/>
      <c r="H24" s="7"/>
      <c r="I24" s="5"/>
      <c r="J24" s="4"/>
      <c r="K24" s="9"/>
      <c r="L24" s="5"/>
      <c r="M24" s="4"/>
      <c r="N24" s="9">
        <f t="shared" si="25"/>
        <v>0</v>
      </c>
      <c r="O24" s="5">
        <f t="shared" si="13"/>
        <v>0</v>
      </c>
      <c r="P24" s="4">
        <f t="shared" si="14"/>
        <v>0</v>
      </c>
      <c r="Q24" s="31"/>
      <c r="R24" s="30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22</v>
      </c>
      <c r="AQ24" s="3"/>
      <c r="AR24" s="9"/>
      <c r="AS24" s="7"/>
      <c r="AT24" s="5"/>
      <c r="AU24" s="4"/>
      <c r="AV24" s="9"/>
      <c r="AW24" s="7"/>
      <c r="AX24" s="5"/>
      <c r="AY24" s="4"/>
      <c r="AZ24" s="9"/>
      <c r="BA24" s="5"/>
      <c r="BB24" s="4"/>
      <c r="BC24" s="3"/>
      <c r="BD24" s="9">
        <f t="shared" si="26"/>
        <v>0</v>
      </c>
      <c r="BE24" s="5"/>
      <c r="BF24" s="4"/>
      <c r="BG24" s="32"/>
      <c r="BH24" s="4"/>
      <c r="BI24" s="32"/>
      <c r="BJ24" s="4"/>
      <c r="BK24" s="9"/>
      <c r="BL24" s="30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</row>
    <row r="25" spans="1:84" x14ac:dyDescent="0.25">
      <c r="A25" s="3">
        <v>23</v>
      </c>
      <c r="B25" s="3"/>
      <c r="C25" s="9"/>
      <c r="D25" s="7"/>
      <c r="E25" s="5"/>
      <c r="F25" s="4"/>
      <c r="G25" s="9"/>
      <c r="H25" s="7"/>
      <c r="I25" s="5"/>
      <c r="J25" s="4"/>
      <c r="K25" s="9"/>
      <c r="L25" s="5"/>
      <c r="M25" s="4"/>
      <c r="N25" s="9">
        <f t="shared" si="25"/>
        <v>0</v>
      </c>
      <c r="O25" s="5">
        <f t="shared" si="13"/>
        <v>0</v>
      </c>
      <c r="P25" s="4">
        <f t="shared" si="14"/>
        <v>0</v>
      </c>
      <c r="Q25" s="9"/>
      <c r="R25" s="31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23</v>
      </c>
      <c r="AQ25" s="3"/>
      <c r="AR25" s="9"/>
      <c r="AS25" s="7"/>
      <c r="AT25" s="5"/>
      <c r="AU25" s="4"/>
      <c r="AV25" s="9"/>
      <c r="AW25" s="7"/>
      <c r="AX25" s="5"/>
      <c r="AY25" s="4"/>
      <c r="AZ25" s="9"/>
      <c r="BA25" s="5"/>
      <c r="BB25" s="4"/>
      <c r="BC25" s="3"/>
      <c r="BD25" s="9">
        <f t="shared" si="26"/>
        <v>0</v>
      </c>
      <c r="BE25" s="5"/>
      <c r="BF25" s="4"/>
      <c r="BG25" s="32"/>
      <c r="BH25" s="4"/>
      <c r="BI25" s="32"/>
      <c r="BJ25" s="4"/>
      <c r="BK25" s="9"/>
      <c r="BL25" s="30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</row>
    <row r="26" spans="1:84" x14ac:dyDescent="0.25">
      <c r="A26" s="3">
        <v>24</v>
      </c>
      <c r="B26" s="3"/>
      <c r="C26" s="9"/>
      <c r="D26" s="7"/>
      <c r="E26" s="5"/>
      <c r="F26" s="4"/>
      <c r="G26" s="9"/>
      <c r="H26" s="7"/>
      <c r="I26" s="5"/>
      <c r="J26" s="4"/>
      <c r="K26" s="9"/>
      <c r="L26" s="5"/>
      <c r="M26" s="4"/>
      <c r="N26" s="9">
        <f t="shared" si="25"/>
        <v>0</v>
      </c>
      <c r="O26" s="5">
        <f t="shared" si="13"/>
        <v>0</v>
      </c>
      <c r="P26" s="4">
        <f t="shared" si="14"/>
        <v>0</v>
      </c>
      <c r="Q26" s="34"/>
      <c r="R26" s="9"/>
      <c r="S26" s="32"/>
      <c r="T26" s="4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>
        <v>24</v>
      </c>
      <c r="AQ26" s="3"/>
      <c r="AR26" s="9"/>
      <c r="AS26" s="7"/>
      <c r="AT26" s="5"/>
      <c r="AU26" s="4"/>
      <c r="AV26" s="9"/>
      <c r="AW26" s="7"/>
      <c r="AX26" s="5"/>
      <c r="AY26" s="4"/>
      <c r="AZ26" s="9"/>
      <c r="BA26" s="5"/>
      <c r="BB26" s="4"/>
      <c r="BC26" s="3"/>
      <c r="BD26" s="9">
        <f t="shared" si="26"/>
        <v>0</v>
      </c>
      <c r="BE26" s="5"/>
      <c r="BF26" s="4"/>
      <c r="BG26" s="32"/>
      <c r="BH26" s="4"/>
      <c r="BI26" s="32"/>
      <c r="BJ26" s="4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</row>
    <row r="27" spans="1:84" x14ac:dyDescent="0.25">
      <c r="A27" s="3">
        <v>25</v>
      </c>
      <c r="B27" s="3"/>
      <c r="C27" s="9"/>
      <c r="D27" s="7"/>
      <c r="E27" s="5"/>
      <c r="F27" s="4"/>
      <c r="G27" s="9"/>
      <c r="H27" s="7"/>
      <c r="I27" s="5"/>
      <c r="J27" s="4"/>
      <c r="K27" s="9"/>
      <c r="L27" s="5"/>
      <c r="M27" s="4"/>
      <c r="N27" s="9">
        <f t="shared" si="25"/>
        <v>0</v>
      </c>
      <c r="O27" s="5">
        <f t="shared" si="13"/>
        <v>0</v>
      </c>
      <c r="P27" s="4">
        <f t="shared" si="14"/>
        <v>0</v>
      </c>
      <c r="Q27" s="4"/>
      <c r="R27" s="34"/>
      <c r="S27" s="32"/>
      <c r="T27" s="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>
        <v>25</v>
      </c>
      <c r="AQ27" s="3"/>
      <c r="AR27" s="9"/>
      <c r="AS27" s="7"/>
      <c r="AT27" s="5"/>
      <c r="AU27" s="4"/>
      <c r="AV27" s="9"/>
      <c r="AW27" s="7"/>
      <c r="AX27" s="5"/>
      <c r="AY27" s="4"/>
      <c r="AZ27" s="9"/>
      <c r="BA27" s="5"/>
      <c r="BB27" s="4"/>
      <c r="BC27" s="3"/>
      <c r="BD27" s="9">
        <f t="shared" si="26"/>
        <v>0</v>
      </c>
      <c r="BE27" s="5"/>
      <c r="BF27" s="4"/>
      <c r="BG27" s="32"/>
      <c r="BH27" s="4"/>
      <c r="BI27" s="32"/>
      <c r="BJ27" s="4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</row>
    <row r="28" spans="1:84" x14ac:dyDescent="0.25">
      <c r="A28" s="3">
        <v>26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25"/>
        <v>0</v>
      </c>
      <c r="O28" s="5">
        <f t="shared" si="13"/>
        <v>0</v>
      </c>
      <c r="P28" s="4">
        <f t="shared" si="14"/>
        <v>0</v>
      </c>
      <c r="Q28" s="38"/>
      <c r="R28" s="4"/>
      <c r="S28" s="32"/>
      <c r="T28" s="4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>
        <v>26</v>
      </c>
      <c r="AQ28" s="3"/>
      <c r="AR28" s="9"/>
      <c r="AS28" s="7"/>
      <c r="AT28" s="5"/>
      <c r="AU28" s="4"/>
      <c r="AV28" s="9"/>
      <c r="AW28" s="7"/>
      <c r="AX28" s="5"/>
      <c r="AY28" s="4"/>
      <c r="AZ28" s="9"/>
      <c r="BA28" s="5"/>
      <c r="BB28" s="4"/>
      <c r="BC28" s="3"/>
      <c r="BD28" s="9">
        <f t="shared" si="26"/>
        <v>0</v>
      </c>
      <c r="BE28" s="5"/>
      <c r="BF28" s="4"/>
      <c r="BG28" s="32"/>
      <c r="BH28" s="4"/>
      <c r="BI28" s="32"/>
      <c r="BJ28" s="4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</row>
    <row r="29" spans="1:84" x14ac:dyDescent="0.25">
      <c r="A29" s="3">
        <v>27</v>
      </c>
      <c r="B29" s="3"/>
      <c r="C29" s="9"/>
      <c r="D29" s="7"/>
      <c r="E29" s="5"/>
      <c r="F29" s="4"/>
      <c r="G29" s="9"/>
      <c r="H29" s="7"/>
      <c r="I29" s="5"/>
      <c r="J29" s="4"/>
      <c r="K29" s="9"/>
      <c r="L29" s="5"/>
      <c r="M29" s="4"/>
      <c r="N29" s="9">
        <f t="shared" si="25"/>
        <v>0</v>
      </c>
      <c r="O29" s="5">
        <f t="shared" si="13"/>
        <v>0</v>
      </c>
      <c r="P29" s="4">
        <f t="shared" si="14"/>
        <v>0</v>
      </c>
      <c r="Q29" s="32"/>
      <c r="R29" s="4"/>
      <c r="S29" s="32"/>
      <c r="T29" s="4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>
        <v>27</v>
      </c>
      <c r="AQ29" s="3"/>
      <c r="AR29" s="9"/>
      <c r="AS29" s="7"/>
      <c r="AT29" s="5"/>
      <c r="AU29" s="4"/>
      <c r="AV29" s="9"/>
      <c r="AW29" s="7"/>
      <c r="AX29" s="5"/>
      <c r="AY29" s="4"/>
      <c r="AZ29" s="9"/>
      <c r="BA29" s="5"/>
      <c r="BB29" s="4"/>
      <c r="BC29" s="3"/>
      <c r="BD29" s="9">
        <f t="shared" si="26"/>
        <v>0</v>
      </c>
      <c r="BE29" s="5"/>
      <c r="BF29" s="4"/>
      <c r="BG29" s="32"/>
      <c r="BH29" s="4"/>
      <c r="BI29" s="32"/>
      <c r="BJ29" s="4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</row>
    <row r="30" spans="1:84" x14ac:dyDescent="0.25">
      <c r="A30" s="3">
        <v>28</v>
      </c>
      <c r="B30" s="3"/>
      <c r="C30" s="9"/>
      <c r="D30" s="7"/>
      <c r="E30" s="5"/>
      <c r="F30" s="4"/>
      <c r="G30" s="9"/>
      <c r="H30" s="7"/>
      <c r="I30" s="5"/>
      <c r="J30" s="4"/>
      <c r="K30" s="9"/>
      <c r="L30" s="5"/>
      <c r="M30" s="4"/>
      <c r="N30" s="9">
        <f t="shared" si="25"/>
        <v>0</v>
      </c>
      <c r="O30" s="5">
        <f t="shared" si="13"/>
        <v>0</v>
      </c>
      <c r="P30" s="4">
        <f t="shared" si="14"/>
        <v>0</v>
      </c>
      <c r="Q30" s="33"/>
      <c r="R30" s="32"/>
      <c r="S30" s="32"/>
      <c r="T30" s="4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>
        <v>28</v>
      </c>
      <c r="AQ30" s="3"/>
      <c r="AR30" s="9"/>
      <c r="AS30" s="7"/>
      <c r="AT30" s="5"/>
      <c r="AU30" s="4"/>
      <c r="AV30" s="9"/>
      <c r="AW30" s="7"/>
      <c r="AX30" s="5"/>
      <c r="AY30" s="4"/>
      <c r="AZ30" s="9"/>
      <c r="BA30" s="5"/>
      <c r="BB30" s="4"/>
      <c r="BC30" s="3"/>
      <c r="BD30" s="9">
        <f t="shared" si="26"/>
        <v>0</v>
      </c>
      <c r="BE30" s="5"/>
      <c r="BF30" s="4"/>
      <c r="BG30" s="32"/>
      <c r="BH30" s="4"/>
      <c r="BI30" s="32"/>
      <c r="BJ30" s="4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</row>
    <row r="31" spans="1:84" x14ac:dyDescent="0.25">
      <c r="A31" s="3">
        <v>29</v>
      </c>
      <c r="B31" s="3"/>
      <c r="C31" s="9"/>
      <c r="D31" s="7"/>
      <c r="E31" s="5"/>
      <c r="F31" s="4"/>
      <c r="G31" s="9"/>
      <c r="H31" s="7"/>
      <c r="I31" s="5"/>
      <c r="J31" s="4"/>
      <c r="K31" s="9"/>
      <c r="L31" s="5"/>
      <c r="M31" s="4"/>
      <c r="N31" s="9">
        <f t="shared" si="25"/>
        <v>0</v>
      </c>
      <c r="O31" s="5">
        <f t="shared" si="13"/>
        <v>0</v>
      </c>
      <c r="P31" s="4">
        <f t="shared" si="14"/>
        <v>0</v>
      </c>
      <c r="Q31" s="32"/>
      <c r="R31" s="35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>
        <v>29</v>
      </c>
      <c r="AQ31" s="3"/>
      <c r="AR31" s="9"/>
      <c r="AS31" s="7"/>
      <c r="AT31" s="5"/>
      <c r="AU31" s="4"/>
      <c r="AV31" s="9"/>
      <c r="AW31" s="7"/>
      <c r="AX31" s="5"/>
      <c r="AY31" s="4"/>
      <c r="AZ31" s="9"/>
      <c r="BA31" s="5"/>
      <c r="BB31" s="4"/>
      <c r="BC31" s="3"/>
      <c r="BD31" s="9">
        <f t="shared" si="26"/>
        <v>0</v>
      </c>
      <c r="BE31" s="5"/>
      <c r="BF31" s="4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</row>
    <row r="32" spans="1:84" x14ac:dyDescent="0.25">
      <c r="A32" s="3">
        <v>30</v>
      </c>
      <c r="B32" s="3"/>
      <c r="C32" s="9"/>
      <c r="D32" s="7"/>
      <c r="E32" s="5"/>
      <c r="F32" s="4"/>
      <c r="G32" s="9"/>
      <c r="H32" s="7"/>
      <c r="I32" s="5"/>
      <c r="J32" s="4"/>
      <c r="K32" s="9"/>
      <c r="L32" s="5"/>
      <c r="M32" s="4"/>
      <c r="N32" s="9">
        <f t="shared" si="25"/>
        <v>0</v>
      </c>
      <c r="O32" s="5">
        <f t="shared" si="13"/>
        <v>0</v>
      </c>
      <c r="P32" s="4">
        <f t="shared" si="14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>
        <v>30</v>
      </c>
      <c r="AQ32" s="3"/>
      <c r="AR32" s="9"/>
      <c r="AS32" s="7"/>
      <c r="AT32" s="5"/>
      <c r="AU32" s="4"/>
      <c r="AV32" s="9"/>
      <c r="AW32" s="7"/>
      <c r="AX32" s="5"/>
      <c r="AY32" s="4"/>
      <c r="AZ32" s="9"/>
      <c r="BA32" s="5"/>
      <c r="BB32" s="4"/>
      <c r="BC32" s="3"/>
      <c r="BD32" s="9">
        <f t="shared" si="26"/>
        <v>0</v>
      </c>
      <c r="BE32" s="5"/>
      <c r="BF32" s="4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</row>
    <row r="33" spans="1:84" x14ac:dyDescent="0.25">
      <c r="A33" s="3">
        <v>31</v>
      </c>
      <c r="B33" s="3"/>
      <c r="C33" s="9"/>
      <c r="D33" s="7"/>
      <c r="E33" s="5"/>
      <c r="F33" s="4"/>
      <c r="G33" s="9"/>
      <c r="H33" s="7"/>
      <c r="I33" s="5"/>
      <c r="J33" s="4"/>
      <c r="K33" s="9"/>
      <c r="L33" s="5"/>
      <c r="M33" s="4"/>
      <c r="N33" s="9">
        <f t="shared" si="25"/>
        <v>0</v>
      </c>
      <c r="O33" s="5">
        <f t="shared" si="13"/>
        <v>0</v>
      </c>
      <c r="P33" s="4">
        <f t="shared" si="14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>
        <v>31</v>
      </c>
      <c r="AQ33" s="3"/>
      <c r="AR33" s="9"/>
      <c r="AS33" s="7"/>
      <c r="AT33" s="5"/>
      <c r="AU33" s="4"/>
      <c r="AV33" s="9"/>
      <c r="AW33" s="7"/>
      <c r="AX33" s="5"/>
      <c r="AY33" s="4"/>
      <c r="AZ33" s="9"/>
      <c r="BA33" s="5"/>
      <c r="BB33" s="4"/>
      <c r="BC33" s="3"/>
      <c r="BD33" s="9">
        <f t="shared" si="26"/>
        <v>0</v>
      </c>
      <c r="BE33" s="5"/>
      <c r="BF33" s="4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</row>
    <row r="34" spans="1:84" x14ac:dyDescent="0.25">
      <c r="A34" s="3">
        <v>32</v>
      </c>
      <c r="B34" s="3"/>
      <c r="C34" s="9"/>
      <c r="D34" s="7"/>
      <c r="E34" s="5"/>
      <c r="F34" s="4"/>
      <c r="G34" s="9"/>
      <c r="H34" s="7"/>
      <c r="I34" s="5"/>
      <c r="J34" s="4"/>
      <c r="K34" s="9"/>
      <c r="L34" s="5"/>
      <c r="M34" s="4"/>
      <c r="N34" s="9">
        <f t="shared" si="25"/>
        <v>0</v>
      </c>
      <c r="O34" s="5">
        <f t="shared" si="13"/>
        <v>0</v>
      </c>
      <c r="P34" s="4">
        <f t="shared" si="14"/>
        <v>0</v>
      </c>
      <c r="Q34" s="3"/>
      <c r="R34" s="3"/>
      <c r="S34" s="39" t="s">
        <v>94</v>
      </c>
      <c r="T34" s="40"/>
      <c r="U34" s="9" t="s">
        <v>50</v>
      </c>
      <c r="V34" s="30" t="s">
        <v>37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>
        <v>32</v>
      </c>
      <c r="AQ34" s="3"/>
      <c r="AR34" s="9"/>
      <c r="AS34" s="7"/>
      <c r="AT34" s="5"/>
      <c r="AU34" s="4"/>
      <c r="AV34" s="9"/>
      <c r="AW34" s="7"/>
      <c r="AX34" s="5"/>
      <c r="AY34" s="4"/>
      <c r="AZ34" s="9"/>
      <c r="BA34" s="5"/>
      <c r="BB34" s="4"/>
      <c r="BC34" s="3"/>
      <c r="BD34" s="9">
        <f t="shared" si="26"/>
        <v>0</v>
      </c>
      <c r="BE34" s="5"/>
      <c r="BF34" s="4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</row>
    <row r="35" spans="1:84" x14ac:dyDescent="0.25">
      <c r="A35" s="3">
        <v>33</v>
      </c>
      <c r="B35" s="3"/>
      <c r="C35" s="9"/>
      <c r="D35" s="7"/>
      <c r="E35" s="5"/>
      <c r="F35" s="4"/>
      <c r="G35" s="9"/>
      <c r="H35" s="7"/>
      <c r="I35" s="5"/>
      <c r="J35" s="4"/>
      <c r="K35" s="9"/>
      <c r="L35" s="5"/>
      <c r="M35" s="4"/>
      <c r="N35" s="9">
        <f t="shared" si="25"/>
        <v>0</v>
      </c>
      <c r="O35" s="5">
        <f t="shared" si="13"/>
        <v>0</v>
      </c>
      <c r="P35" s="4">
        <f t="shared" si="14"/>
        <v>0</v>
      </c>
      <c r="Q35" s="3"/>
      <c r="R35" s="3"/>
      <c r="S35" s="41" t="s">
        <v>57</v>
      </c>
      <c r="T35" s="42" t="str">
        <f>S34</f>
        <v>9(2367)-10*(1357)</v>
      </c>
      <c r="U35" s="9"/>
      <c r="V35" s="30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>
        <v>33</v>
      </c>
      <c r="AQ35" s="3"/>
      <c r="AR35" s="9"/>
      <c r="AS35" s="7"/>
      <c r="AT35" s="5"/>
      <c r="AU35" s="4"/>
      <c r="AV35" s="9"/>
      <c r="AW35" s="7"/>
      <c r="AX35" s="5"/>
      <c r="AY35" s="4"/>
      <c r="AZ35" s="9"/>
      <c r="BA35" s="5"/>
      <c r="BB35" s="4"/>
      <c r="BC35" s="3"/>
      <c r="BD35" s="9">
        <f t="shared" si="26"/>
        <v>0</v>
      </c>
      <c r="BE35" s="5"/>
      <c r="BF35" s="4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</row>
    <row r="36" spans="1:84" x14ac:dyDescent="0.25">
      <c r="A36" s="3">
        <v>34</v>
      </c>
      <c r="B36" s="3"/>
      <c r="C36" s="9"/>
      <c r="D36" s="7"/>
      <c r="E36" s="5"/>
      <c r="F36" s="4"/>
      <c r="G36" s="9"/>
      <c r="H36" s="7"/>
      <c r="I36" s="5"/>
      <c r="J36" s="4"/>
      <c r="K36" s="9"/>
      <c r="L36" s="5"/>
      <c r="M36" s="4"/>
      <c r="N36" s="9">
        <f t="shared" si="25"/>
        <v>0</v>
      </c>
      <c r="O36" s="5">
        <f t="shared" si="13"/>
        <v>0</v>
      </c>
      <c r="P36" s="4">
        <f t="shared" si="14"/>
        <v>0</v>
      </c>
      <c r="Q36" s="3"/>
      <c r="R36" s="3"/>
      <c r="S36" s="37" t="s">
        <v>50</v>
      </c>
      <c r="T36" s="42" t="str">
        <f>S35</f>
        <v>+11(1256)</v>
      </c>
      <c r="U36" s="31" t="s">
        <v>103</v>
      </c>
      <c r="V36" s="30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v>34</v>
      </c>
      <c r="AQ36" s="3"/>
      <c r="AR36" s="9"/>
      <c r="AS36" s="7"/>
      <c r="AT36" s="5"/>
      <c r="AU36" s="4"/>
      <c r="AV36" s="9"/>
      <c r="AW36" s="7"/>
      <c r="AX36" s="5"/>
      <c r="AY36" s="4"/>
      <c r="AZ36" s="9"/>
      <c r="BA36" s="5"/>
      <c r="BB36" s="4"/>
      <c r="BC36" s="3"/>
      <c r="BD36" s="9">
        <f t="shared" si="26"/>
        <v>0</v>
      </c>
      <c r="BE36" s="5"/>
      <c r="BF36" s="4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</row>
    <row r="37" spans="1:84" x14ac:dyDescent="0.25">
      <c r="A37" s="3">
        <v>35</v>
      </c>
      <c r="B37" s="3"/>
      <c r="C37" s="9"/>
      <c r="D37" s="7"/>
      <c r="E37" s="5"/>
      <c r="F37" s="4"/>
      <c r="G37" s="9"/>
      <c r="H37" s="7"/>
      <c r="I37" s="5"/>
      <c r="J37" s="4"/>
      <c r="K37" s="9"/>
      <c r="L37" s="5"/>
      <c r="M37" s="4"/>
      <c r="N37" s="9">
        <f t="shared" si="25"/>
        <v>0</v>
      </c>
      <c r="O37" s="5">
        <f t="shared" si="13"/>
        <v>0</v>
      </c>
      <c r="P37" s="4">
        <f t="shared" si="14"/>
        <v>0</v>
      </c>
      <c r="Q37" s="3"/>
      <c r="R37" s="3"/>
      <c r="S37" s="43" t="s">
        <v>58</v>
      </c>
      <c r="T37" s="44" t="str">
        <f t="shared" ref="T37:T42" si="27">S36</f>
        <v>9(2468)-10(1458)</v>
      </c>
      <c r="U37" s="31" t="s">
        <v>63</v>
      </c>
      <c r="V37" s="31" t="str">
        <f>U36</f>
        <v>o_end 16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v>35</v>
      </c>
      <c r="AQ37" s="3"/>
      <c r="AR37" s="9"/>
      <c r="AS37" s="7"/>
      <c r="AT37" s="5"/>
      <c r="AU37" s="4"/>
      <c r="AV37" s="9"/>
      <c r="AW37" s="7"/>
      <c r="AX37" s="5"/>
      <c r="AY37" s="4"/>
      <c r="AZ37" s="9"/>
      <c r="BA37" s="5"/>
      <c r="BB37" s="4"/>
      <c r="BC37" s="3"/>
      <c r="BD37" s="9">
        <f t="shared" si="26"/>
        <v>0</v>
      </c>
      <c r="BE37" s="5"/>
      <c r="BF37" s="4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</row>
    <row r="38" spans="1:84" x14ac:dyDescent="0.25">
      <c r="A38" s="3">
        <v>36</v>
      </c>
      <c r="B38" s="3"/>
      <c r="C38" s="9"/>
      <c r="D38" s="7"/>
      <c r="E38" s="5"/>
      <c r="F38" s="4"/>
      <c r="G38" s="9"/>
      <c r="H38" s="7"/>
      <c r="I38" s="5"/>
      <c r="J38" s="4"/>
      <c r="K38" s="9"/>
      <c r="L38" s="5"/>
      <c r="M38" s="4"/>
      <c r="N38" s="9">
        <f t="shared" si="25"/>
        <v>0</v>
      </c>
      <c r="O38" s="5">
        <f t="shared" si="13"/>
        <v>0</v>
      </c>
      <c r="P38" s="4">
        <f t="shared" si="14"/>
        <v>0</v>
      </c>
      <c r="Q38" s="3"/>
      <c r="R38" s="3"/>
      <c r="S38" s="45" t="s">
        <v>51</v>
      </c>
      <c r="T38" s="44" t="str">
        <f t="shared" si="27"/>
        <v>+12(1256)</v>
      </c>
      <c r="U38" s="9" t="s">
        <v>104</v>
      </c>
      <c r="V38" s="31" t="s">
        <v>63</v>
      </c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>
        <v>36</v>
      </c>
      <c r="AQ38" s="3"/>
      <c r="AR38" s="9"/>
      <c r="AS38" s="7"/>
      <c r="AT38" s="5"/>
      <c r="AU38" s="4"/>
      <c r="AV38" s="9"/>
      <c r="AW38" s="7"/>
      <c r="AX38" s="5"/>
      <c r="AY38" s="4"/>
      <c r="AZ38" s="9"/>
      <c r="BA38" s="5"/>
      <c r="BB38" s="4"/>
      <c r="BC38" s="3"/>
      <c r="BD38" s="9">
        <f t="shared" si="26"/>
        <v>0</v>
      </c>
      <c r="BE38" s="5"/>
      <c r="BF38" s="4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</row>
    <row r="39" spans="1:84" x14ac:dyDescent="0.25">
      <c r="A39" s="3"/>
      <c r="B39" s="3"/>
      <c r="C39" s="9"/>
      <c r="D39" s="7"/>
      <c r="E39" s="5"/>
      <c r="F39" s="4"/>
      <c r="G39" s="9"/>
      <c r="H39" s="7"/>
      <c r="I39" s="5"/>
      <c r="J39" s="4"/>
      <c r="K39" s="9"/>
      <c r="L39" s="5"/>
      <c r="M39" s="4"/>
      <c r="N39" s="9"/>
      <c r="O39" s="5"/>
      <c r="P39" s="4"/>
      <c r="Q39" s="3"/>
      <c r="R39" s="3"/>
      <c r="S39" s="46" t="s">
        <v>95</v>
      </c>
      <c r="T39" s="47" t="str">
        <f t="shared" si="27"/>
        <v>9(3478)-11(1458)</v>
      </c>
      <c r="U39" s="9" t="s">
        <v>61</v>
      </c>
      <c r="V39" s="9" t="s">
        <v>65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</row>
    <row r="40" spans="1:84" x14ac:dyDescent="0.25">
      <c r="A40" s="3"/>
      <c r="B40" s="3"/>
      <c r="C40" s="9"/>
      <c r="D40" s="7"/>
      <c r="E40" s="5"/>
      <c r="F40" s="4"/>
      <c r="G40" s="9"/>
      <c r="H40" s="7"/>
      <c r="I40" s="5"/>
      <c r="J40" s="4"/>
      <c r="K40" s="9"/>
      <c r="L40" s="5"/>
      <c r="M40" s="4"/>
      <c r="N40" s="9"/>
      <c r="O40" s="5"/>
      <c r="P40" s="4"/>
      <c r="Q40" s="3"/>
      <c r="R40" s="3"/>
      <c r="S40" s="48" t="s">
        <v>38</v>
      </c>
      <c r="T40" s="47" t="str">
        <f t="shared" si="27"/>
        <v>+12(1357)</v>
      </c>
      <c r="U40" s="4" t="s">
        <v>105</v>
      </c>
      <c r="V40" s="9" t="s">
        <v>65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</row>
    <row r="41" spans="1:84" x14ac:dyDescent="0.25">
      <c r="A41" s="3"/>
      <c r="B41" s="3"/>
      <c r="C41" s="9"/>
      <c r="D41" s="7"/>
      <c r="E41" s="5"/>
      <c r="F41" s="4"/>
      <c r="G41" s="9"/>
      <c r="H41" s="7"/>
      <c r="I41" s="5"/>
      <c r="J41" s="4"/>
      <c r="K41" s="9"/>
      <c r="L41" s="5"/>
      <c r="M41" s="4"/>
      <c r="N41" s="3"/>
      <c r="O41" s="3"/>
      <c r="P41" s="3"/>
      <c r="Q41" s="3"/>
      <c r="R41" s="3"/>
      <c r="S41" s="49" t="s">
        <v>60</v>
      </c>
      <c r="T41" s="50" t="str">
        <f t="shared" si="27"/>
        <v>10(3478)-11(2468)</v>
      </c>
      <c r="U41" s="4" t="s">
        <v>62</v>
      </c>
      <c r="V41" s="4" t="s">
        <v>66</v>
      </c>
      <c r="W41" s="3"/>
      <c r="X41" s="3"/>
      <c r="Y41" s="9"/>
      <c r="Z41" s="5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</row>
    <row r="42" spans="1:84" x14ac:dyDescent="0.25">
      <c r="A42" s="3"/>
      <c r="B42" s="3"/>
      <c r="C42" s="9"/>
      <c r="D42" s="7"/>
      <c r="E42" s="5"/>
      <c r="F42" s="4"/>
      <c r="G42" s="9"/>
      <c r="H42" s="7"/>
      <c r="I42" s="5"/>
      <c r="J42" s="4"/>
      <c r="K42" s="9"/>
      <c r="L42" s="5"/>
      <c r="M42" s="4"/>
      <c r="N42" s="3"/>
      <c r="O42" s="3"/>
      <c r="P42" s="3"/>
      <c r="Q42" s="3"/>
      <c r="R42" s="3"/>
      <c r="S42" s="48"/>
      <c r="T42" s="50" t="str">
        <f t="shared" si="27"/>
        <v>+12(2367)</v>
      </c>
      <c r="U42" s="35" t="s">
        <v>106</v>
      </c>
      <c r="V42" s="4" t="s">
        <v>66</v>
      </c>
      <c r="W42" s="3"/>
      <c r="X42" s="3"/>
      <c r="Y42" s="9"/>
      <c r="Z42" s="5"/>
      <c r="AA42" s="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</row>
    <row r="43" spans="1:84" x14ac:dyDescent="0.25">
      <c r="A43" s="3"/>
      <c r="B43" s="3"/>
      <c r="C43" s="9"/>
      <c r="D43" s="7"/>
      <c r="E43" s="5"/>
      <c r="F43" s="4"/>
      <c r="G43" s="9"/>
      <c r="H43" s="7"/>
      <c r="I43" s="5"/>
      <c r="J43" s="4"/>
      <c r="K43" s="9"/>
      <c r="L43" s="5"/>
      <c r="M43" s="4"/>
      <c r="N43" s="3"/>
      <c r="O43" s="3"/>
      <c r="P43" s="3"/>
      <c r="Q43" s="3"/>
      <c r="R43" s="3"/>
      <c r="S43" s="51"/>
      <c r="T43" s="52"/>
      <c r="U43" s="35" t="s">
        <v>64</v>
      </c>
      <c r="V43" s="35" t="s">
        <v>67</v>
      </c>
      <c r="W43" s="3"/>
      <c r="X43" s="3"/>
      <c r="Y43" s="9"/>
      <c r="Z43" s="5"/>
      <c r="AA43" s="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</row>
    <row r="44" spans="1:84" x14ac:dyDescent="0.25">
      <c r="A44" s="3"/>
      <c r="B44" s="3"/>
      <c r="C44" s="9"/>
      <c r="D44" s="7"/>
      <c r="E44" s="5"/>
      <c r="F44" s="4"/>
      <c r="G44" s="9"/>
      <c r="H44" s="7"/>
      <c r="I44" s="5"/>
      <c r="J44" s="4"/>
      <c r="K44" s="9"/>
      <c r="L44" s="5"/>
      <c r="M44" s="4"/>
      <c r="N44" s="3"/>
      <c r="O44" s="3"/>
      <c r="P44" s="3"/>
      <c r="Q44" s="3"/>
      <c r="R44" s="3"/>
      <c r="S44" s="32"/>
      <c r="T44" s="4"/>
      <c r="U44" s="3"/>
      <c r="V44" s="35" t="s">
        <v>67</v>
      </c>
      <c r="W44" s="3"/>
      <c r="X44" s="3"/>
      <c r="Y44" s="9"/>
      <c r="Z44" s="5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</row>
    <row r="45" spans="1:84" x14ac:dyDescent="0.25">
      <c r="A45" s="3"/>
      <c r="B45" s="3"/>
      <c r="C45" s="9"/>
      <c r="D45" s="7"/>
      <c r="E45" s="5"/>
      <c r="F45" s="4"/>
      <c r="G45" s="9"/>
      <c r="H45" s="7"/>
      <c r="I45" s="5"/>
      <c r="J45" s="4"/>
      <c r="K45" s="9"/>
      <c r="L45" s="5"/>
      <c r="M45" s="4"/>
      <c r="N45" s="3"/>
      <c r="O45" s="3"/>
      <c r="P45" s="3"/>
      <c r="Q45" s="3"/>
      <c r="R45" s="3"/>
      <c r="S45" s="32"/>
      <c r="T45" s="4"/>
      <c r="U45" s="9"/>
      <c r="V45" s="3"/>
      <c r="W45" s="3"/>
      <c r="X45" s="3"/>
      <c r="Y45" s="9"/>
      <c r="Z45" s="5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</row>
    <row r="46" spans="1:84" x14ac:dyDescent="0.25">
      <c r="A46" s="3"/>
      <c r="B46" s="3"/>
      <c r="C46" s="9"/>
      <c r="D46" s="7"/>
      <c r="E46" s="5"/>
      <c r="F46" s="4"/>
      <c r="G46" s="9"/>
      <c r="H46" s="7"/>
      <c r="I46" s="5"/>
      <c r="J46" s="4"/>
      <c r="K46" s="9"/>
      <c r="L46" s="5"/>
      <c r="M46" s="4"/>
      <c r="N46" s="3"/>
      <c r="O46" s="3"/>
      <c r="P46" s="3"/>
      <c r="Q46" s="3"/>
      <c r="R46" s="3"/>
      <c r="S46" s="32"/>
      <c r="T46" s="4"/>
      <c r="U46" s="9"/>
      <c r="V46" s="30"/>
      <c r="W46" s="3"/>
      <c r="X46" s="3"/>
      <c r="Y46" s="9"/>
      <c r="Z46" s="5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</row>
    <row r="47" spans="1:84" x14ac:dyDescent="0.25">
      <c r="S47" s="32"/>
      <c r="T47" s="4"/>
      <c r="U47" s="9"/>
      <c r="V47" s="3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810B-0D1C-49F4-BFF5-26ABEEB5260E}">
  <dimension ref="A1:AJ65"/>
  <sheetViews>
    <sheetView topLeftCell="A6" zoomScale="85" zoomScaleNormal="85" workbookViewId="0">
      <selection activeCell="A44" sqref="A44"/>
    </sheetView>
  </sheetViews>
  <sheetFormatPr defaultRowHeight="15.75" x14ac:dyDescent="0.25"/>
  <cols>
    <col min="11" max="12" width="18.140625" bestFit="1" customWidth="1"/>
    <col min="13" max="13" width="16.85546875" bestFit="1" customWidth="1"/>
    <col min="14" max="14" width="11.5703125" bestFit="1" customWidth="1"/>
  </cols>
  <sheetData>
    <row r="1" spans="1:36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L1" s="6"/>
      <c r="M1" s="2"/>
      <c r="N1" s="21" t="s">
        <v>120</v>
      </c>
      <c r="P1" t="s">
        <v>13</v>
      </c>
      <c r="Q1" t="s">
        <v>15</v>
      </c>
      <c r="R1" t="str">
        <f>LEFT(Q1, LEN(Q1)-2) &amp; "1]"</f>
        <v>det22_reg [1]</v>
      </c>
      <c r="S1" t="s">
        <v>16</v>
      </c>
      <c r="T1" t="s">
        <v>17</v>
      </c>
      <c r="U1" t="s">
        <v>14</v>
      </c>
      <c r="V1" t="s">
        <v>18</v>
      </c>
      <c r="W1" t="s">
        <v>19</v>
      </c>
      <c r="X1" t="s">
        <v>20</v>
      </c>
      <c r="Y1" t="s">
        <v>21</v>
      </c>
      <c r="Z1" s="3" t="s">
        <v>1</v>
      </c>
      <c r="AA1" t="s">
        <v>13</v>
      </c>
      <c r="AB1" t="s">
        <v>15</v>
      </c>
      <c r="AC1" t="str">
        <f>LEFT(AB1, LEN(AB1)-2) &amp; "1]"</f>
        <v>det22_reg [1]</v>
      </c>
      <c r="AD1" t="s">
        <v>16</v>
      </c>
      <c r="AE1" t="s">
        <v>17</v>
      </c>
      <c r="AF1" t="s">
        <v>14</v>
      </c>
      <c r="AG1" t="s">
        <v>18</v>
      </c>
      <c r="AH1" t="s">
        <v>19</v>
      </c>
      <c r="AI1" t="s">
        <v>20</v>
      </c>
      <c r="AJ1" t="s">
        <v>21</v>
      </c>
    </row>
    <row r="2" spans="1:36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6"/>
      <c r="M2" s="2"/>
      <c r="N2" s="21"/>
      <c r="Z2" s="3">
        <v>0</v>
      </c>
    </row>
    <row r="3" spans="1:36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6"/>
      <c r="M3" s="2"/>
      <c r="N3" s="21"/>
      <c r="Z3" s="3">
        <v>1</v>
      </c>
    </row>
    <row r="4" spans="1:36" x14ac:dyDescent="0.25">
      <c r="A4" s="3">
        <v>2</v>
      </c>
      <c r="B4" s="3">
        <v>2</v>
      </c>
      <c r="C4" s="9" t="str">
        <f t="shared" ref="C4:I19" si="0">D3</f>
        <v>X</v>
      </c>
      <c r="D4" s="7" t="str">
        <f t="shared" si="0"/>
        <v>X</v>
      </c>
      <c r="E4" s="5" t="str">
        <f t="shared" si="0"/>
        <v>X</v>
      </c>
      <c r="F4" s="4" t="str">
        <f t="shared" si="0"/>
        <v>X</v>
      </c>
      <c r="G4" s="9" t="str">
        <f t="shared" si="0"/>
        <v>X</v>
      </c>
      <c r="H4" s="7" t="str">
        <f t="shared" si="0"/>
        <v>X</v>
      </c>
      <c r="I4" s="5">
        <f>J3</f>
        <v>1</v>
      </c>
      <c r="J4" s="4">
        <v>2</v>
      </c>
      <c r="K4" s="9"/>
      <c r="L4" s="6"/>
      <c r="M4" s="2"/>
      <c r="N4" s="21"/>
      <c r="Z4" s="3">
        <v>2</v>
      </c>
    </row>
    <row r="5" spans="1:36" x14ac:dyDescent="0.25">
      <c r="A5" s="3">
        <v>3</v>
      </c>
      <c r="B5" s="3">
        <v>3</v>
      </c>
      <c r="C5" s="9" t="str">
        <f t="shared" si="0"/>
        <v>X</v>
      </c>
      <c r="D5" s="7" t="str">
        <f t="shared" si="0"/>
        <v>X</v>
      </c>
      <c r="E5" s="5" t="str">
        <f t="shared" si="0"/>
        <v>X</v>
      </c>
      <c r="F5" s="4" t="str">
        <f t="shared" si="0"/>
        <v>X</v>
      </c>
      <c r="G5" s="9" t="str">
        <f t="shared" si="0"/>
        <v>X</v>
      </c>
      <c r="H5" s="7">
        <f t="shared" si="0"/>
        <v>1</v>
      </c>
      <c r="I5" s="5">
        <f t="shared" si="0"/>
        <v>2</v>
      </c>
      <c r="J5" s="4">
        <v>3</v>
      </c>
      <c r="K5" s="9"/>
      <c r="L5" s="6"/>
      <c r="M5" s="2"/>
      <c r="N5" s="21"/>
      <c r="Z5" s="3">
        <v>3</v>
      </c>
    </row>
    <row r="6" spans="1:36" x14ac:dyDescent="0.25">
      <c r="A6" s="3">
        <v>4</v>
      </c>
      <c r="B6" s="3">
        <v>4</v>
      </c>
      <c r="C6" s="9" t="str">
        <f t="shared" si="0"/>
        <v>X</v>
      </c>
      <c r="D6" s="7" t="str">
        <f t="shared" si="0"/>
        <v>X</v>
      </c>
      <c r="E6" s="5" t="str">
        <f t="shared" si="0"/>
        <v>X</v>
      </c>
      <c r="F6" s="4" t="str">
        <f t="shared" si="0"/>
        <v>X</v>
      </c>
      <c r="G6" s="9">
        <f t="shared" si="0"/>
        <v>1</v>
      </c>
      <c r="H6" s="7">
        <f t="shared" si="0"/>
        <v>2</v>
      </c>
      <c r="I6" s="5">
        <f t="shared" si="0"/>
        <v>3</v>
      </c>
      <c r="J6" s="4">
        <v>4</v>
      </c>
      <c r="K6" s="9"/>
      <c r="L6" s="6"/>
      <c r="M6" s="2"/>
      <c r="N6" s="21"/>
      <c r="Z6" s="3">
        <v>4</v>
      </c>
    </row>
    <row r="7" spans="1:36" x14ac:dyDescent="0.25">
      <c r="A7" s="3">
        <v>5</v>
      </c>
      <c r="B7" s="3">
        <v>5</v>
      </c>
      <c r="C7" s="9" t="str">
        <f t="shared" si="0"/>
        <v>X</v>
      </c>
      <c r="D7" s="7" t="str">
        <f t="shared" si="0"/>
        <v>X</v>
      </c>
      <c r="E7" s="5" t="str">
        <f t="shared" si="0"/>
        <v>X</v>
      </c>
      <c r="F7" s="4">
        <f t="shared" si="0"/>
        <v>1</v>
      </c>
      <c r="G7" s="9">
        <f t="shared" si="0"/>
        <v>2</v>
      </c>
      <c r="H7" s="7">
        <f t="shared" si="0"/>
        <v>3</v>
      </c>
      <c r="I7" s="5">
        <f t="shared" si="0"/>
        <v>4</v>
      </c>
      <c r="J7" s="4">
        <v>5</v>
      </c>
      <c r="K7" s="9"/>
      <c r="L7" s="6"/>
      <c r="M7" s="2"/>
      <c r="N7" s="21"/>
      <c r="Z7" s="3">
        <v>5</v>
      </c>
    </row>
    <row r="8" spans="1:36" x14ac:dyDescent="0.25">
      <c r="A8" s="3">
        <v>6</v>
      </c>
      <c r="B8" s="3">
        <v>6</v>
      </c>
      <c r="C8" s="9" t="str">
        <f t="shared" si="0"/>
        <v>X</v>
      </c>
      <c r="D8" s="7" t="str">
        <f t="shared" si="0"/>
        <v>X</v>
      </c>
      <c r="E8" s="5">
        <f t="shared" si="0"/>
        <v>1</v>
      </c>
      <c r="F8" s="4">
        <f t="shared" si="0"/>
        <v>2</v>
      </c>
      <c r="G8" s="9">
        <f t="shared" si="0"/>
        <v>3</v>
      </c>
      <c r="H8" s="7">
        <f t="shared" si="0"/>
        <v>4</v>
      </c>
      <c r="I8" s="5">
        <f t="shared" si="0"/>
        <v>5</v>
      </c>
      <c r="J8" s="4">
        <v>6</v>
      </c>
      <c r="K8" s="9"/>
      <c r="L8" s="6"/>
      <c r="M8" s="2"/>
      <c r="N8" s="21" t="str">
        <f>K10</f>
        <v>1,2
5,6</v>
      </c>
      <c r="Z8" s="3">
        <v>6</v>
      </c>
    </row>
    <row r="9" spans="1:36" ht="16.5" thickBot="1" x14ac:dyDescent="0.3">
      <c r="A9" s="3">
        <v>7</v>
      </c>
      <c r="B9" s="3">
        <v>7</v>
      </c>
      <c r="C9" s="9" t="str">
        <f t="shared" si="0"/>
        <v>X</v>
      </c>
      <c r="D9" s="7">
        <f t="shared" si="0"/>
        <v>1</v>
      </c>
      <c r="E9" s="5">
        <f t="shared" si="0"/>
        <v>2</v>
      </c>
      <c r="F9" s="4">
        <f t="shared" si="0"/>
        <v>3</v>
      </c>
      <c r="G9" s="9">
        <f t="shared" si="0"/>
        <v>4</v>
      </c>
      <c r="H9" s="7">
        <f t="shared" si="0"/>
        <v>5</v>
      </c>
      <c r="I9" s="5">
        <f t="shared" si="0"/>
        <v>6</v>
      </c>
      <c r="J9" s="4">
        <v>7</v>
      </c>
      <c r="K9" s="9"/>
      <c r="L9" s="6"/>
      <c r="M9" s="2"/>
      <c r="N9" s="21" t="str">
        <f t="shared" ref="N9:N21" si="1">K11</f>
        <v>2,3
6,7</v>
      </c>
      <c r="Z9" s="3">
        <v>7</v>
      </c>
      <c r="AJ9" t="str">
        <f>N8</f>
        <v>1,2
5,6</v>
      </c>
    </row>
    <row r="10" spans="1:36" ht="16.5" thickBot="1" x14ac:dyDescent="0.3">
      <c r="A10" s="3">
        <v>8</v>
      </c>
      <c r="B10" s="11">
        <v>8</v>
      </c>
      <c r="C10" s="12">
        <f t="shared" si="0"/>
        <v>1</v>
      </c>
      <c r="D10" s="13">
        <f t="shared" si="0"/>
        <v>2</v>
      </c>
      <c r="E10" s="14">
        <f t="shared" si="0"/>
        <v>3</v>
      </c>
      <c r="F10" s="15">
        <f t="shared" si="0"/>
        <v>4</v>
      </c>
      <c r="G10" s="12">
        <f t="shared" si="0"/>
        <v>5</v>
      </c>
      <c r="H10" s="13">
        <f t="shared" si="0"/>
        <v>6</v>
      </c>
      <c r="I10" s="14">
        <f t="shared" si="0"/>
        <v>7</v>
      </c>
      <c r="J10" s="16">
        <v>8</v>
      </c>
      <c r="K10" s="9" t="str">
        <f>C10 &amp; "," &amp; D10 &amp; CHAR(10) &amp; G10 &amp; "," &amp; H10</f>
        <v>1,2
5,6</v>
      </c>
      <c r="L10" s="6" t="str">
        <f>C10 &amp; "," &amp; E10 &amp; CHAR(10) &amp; G10 &amp; "," &amp; I10</f>
        <v>1,3
5,7</v>
      </c>
      <c r="M10" s="2" t="str">
        <f>C10 &amp; "," &amp; F10 &amp; CHAR(10) &amp; G10 &amp; "," &amp; J10</f>
        <v>1,4
5,8</v>
      </c>
      <c r="N10" s="21" t="str">
        <f t="shared" si="1"/>
        <v>3,4
7,8</v>
      </c>
      <c r="Z10" s="3">
        <v>8</v>
      </c>
      <c r="AJ10" t="str">
        <f>N9</f>
        <v>2,3
6,7</v>
      </c>
    </row>
    <row r="11" spans="1:36" x14ac:dyDescent="0.25">
      <c r="A11" s="3">
        <v>9</v>
      </c>
      <c r="B11" s="3">
        <v>9</v>
      </c>
      <c r="C11" s="9">
        <f t="shared" si="0"/>
        <v>2</v>
      </c>
      <c r="D11" s="7">
        <f t="shared" si="0"/>
        <v>3</v>
      </c>
      <c r="E11" s="5">
        <f t="shared" si="0"/>
        <v>4</v>
      </c>
      <c r="F11" s="4">
        <f t="shared" si="0"/>
        <v>5</v>
      </c>
      <c r="G11" s="9">
        <f t="shared" si="0"/>
        <v>6</v>
      </c>
      <c r="H11" s="7">
        <f t="shared" si="0"/>
        <v>7</v>
      </c>
      <c r="I11" s="5">
        <f t="shared" si="0"/>
        <v>8</v>
      </c>
      <c r="J11" s="4">
        <v>9</v>
      </c>
      <c r="K11" s="9" t="str">
        <f t="shared" ref="K11:K20" si="2">C11 &amp; "," &amp; D11 &amp; CHAR(10) &amp; G11 &amp; "," &amp; H11</f>
        <v>2,3
6,7</v>
      </c>
      <c r="L11" s="6" t="str">
        <f t="shared" ref="L11:L15" si="3">C11 &amp; "," &amp; E11 &amp; CHAR(10) &amp; G11 &amp; "," &amp; I11</f>
        <v>2,4
6,8</v>
      </c>
      <c r="M11" s="2"/>
      <c r="N11" s="21" t="str">
        <f t="shared" si="1"/>
        <v xml:space="preserve"> </v>
      </c>
      <c r="Y11" t="str">
        <f>K10</f>
        <v>1,2
5,6</v>
      </c>
      <c r="Z11" s="3">
        <v>9</v>
      </c>
      <c r="AJ11" t="str">
        <f>N10</f>
        <v>3,4
7,8</v>
      </c>
    </row>
    <row r="12" spans="1:36" x14ac:dyDescent="0.25">
      <c r="A12" s="3">
        <v>10</v>
      </c>
      <c r="B12" s="3">
        <v>10</v>
      </c>
      <c r="C12" s="9">
        <f t="shared" si="0"/>
        <v>3</v>
      </c>
      <c r="D12" s="7">
        <f t="shared" si="0"/>
        <v>4</v>
      </c>
      <c r="E12" s="5">
        <f t="shared" si="0"/>
        <v>5</v>
      </c>
      <c r="F12" s="4">
        <f t="shared" si="0"/>
        <v>6</v>
      </c>
      <c r="G12" s="9">
        <f t="shared" si="0"/>
        <v>7</v>
      </c>
      <c r="H12" s="7">
        <f t="shared" si="0"/>
        <v>8</v>
      </c>
      <c r="I12" s="5">
        <f t="shared" si="0"/>
        <v>9</v>
      </c>
      <c r="J12" s="4">
        <v>10</v>
      </c>
      <c r="K12" s="9" t="str">
        <f t="shared" si="2"/>
        <v>3,4
7,8</v>
      </c>
      <c r="L12" s="6"/>
      <c r="M12" s="2"/>
      <c r="N12" s="21" t="str">
        <f t="shared" si="1"/>
        <v>5,6
9,10</v>
      </c>
      <c r="P12">
        <f t="shared" ref="P12:X21" si="4">Q11</f>
        <v>0</v>
      </c>
      <c r="Q12">
        <f t="shared" si="4"/>
        <v>0</v>
      </c>
      <c r="R12">
        <f t="shared" si="4"/>
        <v>0</v>
      </c>
      <c r="S12">
        <f t="shared" si="4"/>
        <v>0</v>
      </c>
      <c r="T12">
        <f t="shared" si="4"/>
        <v>0</v>
      </c>
      <c r="U12">
        <f t="shared" si="4"/>
        <v>0</v>
      </c>
      <c r="V12">
        <f t="shared" si="4"/>
        <v>0</v>
      </c>
      <c r="W12">
        <f t="shared" si="4"/>
        <v>0</v>
      </c>
      <c r="X12" t="str">
        <f>Y11</f>
        <v>1,2
5,6</v>
      </c>
      <c r="Y12" t="str">
        <f>K11</f>
        <v>2,3
6,7</v>
      </c>
      <c r="Z12" s="3">
        <v>10</v>
      </c>
      <c r="AA12">
        <f t="shared" ref="AA12:AA21" si="5">AB11</f>
        <v>0</v>
      </c>
      <c r="AB12">
        <f t="shared" ref="AB12:AB21" si="6">AC11</f>
        <v>0</v>
      </c>
      <c r="AC12">
        <f t="shared" ref="AC12:AC21" si="7">AD11</f>
        <v>0</v>
      </c>
      <c r="AD12">
        <f t="shared" ref="AD12:AD21" si="8">AE11</f>
        <v>0</v>
      </c>
      <c r="AE12">
        <f t="shared" ref="AE12:AE21" si="9">AF11</f>
        <v>0</v>
      </c>
      <c r="AF12">
        <f t="shared" ref="AF12:AF21" si="10">AG11</f>
        <v>0</v>
      </c>
      <c r="AG12">
        <f t="shared" ref="AG12:AG21" si="11">AH11</f>
        <v>0</v>
      </c>
      <c r="AH12">
        <f t="shared" ref="AH12:AH21" si="12">AI11</f>
        <v>0</v>
      </c>
      <c r="AI12" t="str">
        <f>AJ11</f>
        <v>3,4
7,8</v>
      </c>
      <c r="AJ12" t="str">
        <f>AJ11</f>
        <v>3,4
7,8</v>
      </c>
    </row>
    <row r="13" spans="1:36" x14ac:dyDescent="0.25">
      <c r="A13" s="3">
        <v>11</v>
      </c>
      <c r="B13" s="3">
        <v>11</v>
      </c>
      <c r="C13" s="9">
        <f t="shared" si="0"/>
        <v>4</v>
      </c>
      <c r="D13" s="7">
        <f t="shared" si="0"/>
        <v>5</v>
      </c>
      <c r="E13" s="5">
        <f t="shared" si="0"/>
        <v>6</v>
      </c>
      <c r="F13" s="4">
        <f t="shared" si="0"/>
        <v>7</v>
      </c>
      <c r="G13" s="9">
        <f t="shared" si="0"/>
        <v>8</v>
      </c>
      <c r="H13" s="7">
        <f t="shared" si="0"/>
        <v>9</v>
      </c>
      <c r="I13" s="5">
        <f t="shared" si="0"/>
        <v>10</v>
      </c>
      <c r="J13" s="4">
        <v>11</v>
      </c>
      <c r="K13" s="9" t="s">
        <v>0</v>
      </c>
      <c r="L13" s="6"/>
      <c r="M13" s="2"/>
      <c r="N13" s="21" t="str">
        <f t="shared" si="1"/>
        <v>6,7
10,11</v>
      </c>
      <c r="P13">
        <f t="shared" si="4"/>
        <v>0</v>
      </c>
      <c r="Q13">
        <f t="shared" si="4"/>
        <v>0</v>
      </c>
      <c r="R13">
        <f t="shared" si="4"/>
        <v>0</v>
      </c>
      <c r="S13">
        <f t="shared" si="4"/>
        <v>0</v>
      </c>
      <c r="T13">
        <f t="shared" si="4"/>
        <v>0</v>
      </c>
      <c r="U13">
        <f t="shared" si="4"/>
        <v>0</v>
      </c>
      <c r="V13">
        <f t="shared" si="4"/>
        <v>0</v>
      </c>
      <c r="W13" t="str">
        <f t="shared" si="4"/>
        <v>1,2
5,6</v>
      </c>
      <c r="X13" t="str">
        <f t="shared" si="4"/>
        <v>2,3
6,7</v>
      </c>
      <c r="Y13" t="str">
        <f>K12</f>
        <v>3,4
7,8</v>
      </c>
      <c r="Z13" s="3">
        <v>11</v>
      </c>
      <c r="AA13">
        <f t="shared" si="5"/>
        <v>0</v>
      </c>
      <c r="AB13">
        <f t="shared" si="6"/>
        <v>0</v>
      </c>
      <c r="AC13">
        <f t="shared" si="7"/>
        <v>0</v>
      </c>
      <c r="AD13">
        <f t="shared" si="8"/>
        <v>0</v>
      </c>
      <c r="AE13">
        <f t="shared" si="9"/>
        <v>0</v>
      </c>
      <c r="AF13">
        <f t="shared" si="10"/>
        <v>0</v>
      </c>
      <c r="AG13">
        <f t="shared" si="11"/>
        <v>0</v>
      </c>
      <c r="AH13" t="str">
        <f t="shared" si="12"/>
        <v>3,4
7,8</v>
      </c>
      <c r="AI13" t="str">
        <f t="shared" ref="AI13:AI21" si="13">AJ12</f>
        <v>3,4
7,8</v>
      </c>
      <c r="AJ13" t="str">
        <f>N12</f>
        <v>5,6
9,10</v>
      </c>
    </row>
    <row r="14" spans="1:36" x14ac:dyDescent="0.25">
      <c r="A14" s="3">
        <v>12</v>
      </c>
      <c r="B14" s="3">
        <v>12</v>
      </c>
      <c r="C14" s="9">
        <f t="shared" si="0"/>
        <v>5</v>
      </c>
      <c r="D14" s="7">
        <f t="shared" si="0"/>
        <v>6</v>
      </c>
      <c r="E14" s="5">
        <f t="shared" si="0"/>
        <v>7</v>
      </c>
      <c r="F14" s="4">
        <f t="shared" si="0"/>
        <v>8</v>
      </c>
      <c r="G14" s="9">
        <f t="shared" si="0"/>
        <v>9</v>
      </c>
      <c r="H14" s="7">
        <f t="shared" si="0"/>
        <v>10</v>
      </c>
      <c r="I14" s="5">
        <f t="shared" si="0"/>
        <v>11</v>
      </c>
      <c r="J14" s="4">
        <v>12</v>
      </c>
      <c r="K14" s="9" t="str">
        <f t="shared" si="2"/>
        <v>5,6
9,10</v>
      </c>
      <c r="L14" s="6" t="str">
        <f t="shared" si="3"/>
        <v>5,7
9,11</v>
      </c>
      <c r="M14" s="2"/>
      <c r="N14" s="21" t="str">
        <f t="shared" si="1"/>
        <v>7,8
11,12</v>
      </c>
      <c r="P14">
        <f t="shared" ref="P14:X14" si="14">P13</f>
        <v>0</v>
      </c>
      <c r="Q14">
        <f t="shared" si="14"/>
        <v>0</v>
      </c>
      <c r="R14">
        <f t="shared" si="14"/>
        <v>0</v>
      </c>
      <c r="S14">
        <f t="shared" si="14"/>
        <v>0</v>
      </c>
      <c r="T14">
        <f t="shared" si="14"/>
        <v>0</v>
      </c>
      <c r="U14">
        <f t="shared" si="14"/>
        <v>0</v>
      </c>
      <c r="V14">
        <f t="shared" si="14"/>
        <v>0</v>
      </c>
      <c r="W14" t="str">
        <f t="shared" si="14"/>
        <v>1,2
5,6</v>
      </c>
      <c r="X14" t="str">
        <f t="shared" si="14"/>
        <v>2,3
6,7</v>
      </c>
      <c r="Y14" t="str">
        <f>Y13</f>
        <v>3,4
7,8</v>
      </c>
      <c r="Z14" s="3">
        <v>12</v>
      </c>
      <c r="AA14">
        <f t="shared" ref="AA14:AI14" si="15">AA13</f>
        <v>0</v>
      </c>
      <c r="AB14">
        <f t="shared" si="15"/>
        <v>0</v>
      </c>
      <c r="AC14">
        <f t="shared" si="15"/>
        <v>0</v>
      </c>
      <c r="AD14">
        <f t="shared" si="15"/>
        <v>0</v>
      </c>
      <c r="AE14">
        <f t="shared" si="15"/>
        <v>0</v>
      </c>
      <c r="AF14">
        <f t="shared" si="15"/>
        <v>0</v>
      </c>
      <c r="AG14">
        <f t="shared" si="15"/>
        <v>0</v>
      </c>
      <c r="AH14" t="str">
        <f t="shared" si="15"/>
        <v>3,4
7,8</v>
      </c>
      <c r="AI14" t="str">
        <f t="shared" si="15"/>
        <v>3,4
7,8</v>
      </c>
      <c r="AJ14" t="str">
        <f>N13</f>
        <v>6,7
10,11</v>
      </c>
    </row>
    <row r="15" spans="1:36" x14ac:dyDescent="0.25">
      <c r="A15" s="3">
        <v>13</v>
      </c>
      <c r="B15" s="3">
        <v>13</v>
      </c>
      <c r="C15" s="9">
        <f t="shared" si="0"/>
        <v>6</v>
      </c>
      <c r="D15" s="7">
        <f t="shared" si="0"/>
        <v>7</v>
      </c>
      <c r="E15" s="5">
        <f t="shared" si="0"/>
        <v>8</v>
      </c>
      <c r="F15" s="4">
        <f t="shared" si="0"/>
        <v>9</v>
      </c>
      <c r="G15" s="9">
        <f t="shared" si="0"/>
        <v>10</v>
      </c>
      <c r="H15" s="7">
        <f t="shared" si="0"/>
        <v>11</v>
      </c>
      <c r="I15" s="5">
        <f t="shared" si="0"/>
        <v>12</v>
      </c>
      <c r="J15" s="4">
        <v>13</v>
      </c>
      <c r="K15" s="9" t="str">
        <f t="shared" si="2"/>
        <v>6,7
10,11</v>
      </c>
      <c r="L15" s="6" t="str">
        <f t="shared" si="3"/>
        <v>6,8
10,12</v>
      </c>
      <c r="M15" s="2"/>
      <c r="N15" s="21" t="str">
        <f t="shared" si="1"/>
        <v xml:space="preserve"> </v>
      </c>
      <c r="P15">
        <f t="shared" ref="P15:X17" si="16">Q14</f>
        <v>0</v>
      </c>
      <c r="Q15">
        <f t="shared" si="16"/>
        <v>0</v>
      </c>
      <c r="R15">
        <f t="shared" si="16"/>
        <v>0</v>
      </c>
      <c r="S15">
        <f t="shared" si="16"/>
        <v>0</v>
      </c>
      <c r="T15">
        <f t="shared" si="16"/>
        <v>0</v>
      </c>
      <c r="U15">
        <f t="shared" si="16"/>
        <v>0</v>
      </c>
      <c r="V15" t="str">
        <f t="shared" si="16"/>
        <v>1,2
5,6</v>
      </c>
      <c r="W15" t="str">
        <f t="shared" si="16"/>
        <v>2,3
6,7</v>
      </c>
      <c r="X15" t="str">
        <f>Y14</f>
        <v>3,4
7,8</v>
      </c>
      <c r="Y15" s="1" t="str">
        <f>K14</f>
        <v>5,6
9,10</v>
      </c>
      <c r="Z15" s="3">
        <v>13</v>
      </c>
      <c r="AA15">
        <f t="shared" ref="AA15:AA17" si="17">AB14</f>
        <v>0</v>
      </c>
      <c r="AB15">
        <f t="shared" ref="AB15:AB17" si="18">AC14</f>
        <v>0</v>
      </c>
      <c r="AC15">
        <f t="shared" ref="AC15:AC17" si="19">AD14</f>
        <v>0</v>
      </c>
      <c r="AD15">
        <f t="shared" ref="AD15:AD17" si="20">AE14</f>
        <v>0</v>
      </c>
      <c r="AE15">
        <f t="shared" ref="AE15:AE17" si="21">AF14</f>
        <v>0</v>
      </c>
      <c r="AF15">
        <f t="shared" ref="AF15:AF17" si="22">AG14</f>
        <v>0</v>
      </c>
      <c r="AG15" t="str">
        <f t="shared" ref="AG15:AG17" si="23">AH14</f>
        <v>3,4
7,8</v>
      </c>
      <c r="AH15" t="str">
        <f t="shared" ref="AH15:AH17" si="24">AI14</f>
        <v>3,4
7,8</v>
      </c>
      <c r="AI15" t="str">
        <f>AJ14</f>
        <v>6,7
10,11</v>
      </c>
      <c r="AJ15" s="1" t="str">
        <f>N14</f>
        <v>7,8
11,12</v>
      </c>
    </row>
    <row r="16" spans="1:36" x14ac:dyDescent="0.25">
      <c r="A16" s="3">
        <v>14</v>
      </c>
      <c r="B16" s="3">
        <v>14</v>
      </c>
      <c r="C16" s="9">
        <f t="shared" si="0"/>
        <v>7</v>
      </c>
      <c r="D16" s="7">
        <f t="shared" si="0"/>
        <v>8</v>
      </c>
      <c r="E16" s="5">
        <f t="shared" si="0"/>
        <v>9</v>
      </c>
      <c r="F16" s="4">
        <f t="shared" si="0"/>
        <v>10</v>
      </c>
      <c r="G16" s="9">
        <f t="shared" si="0"/>
        <v>11</v>
      </c>
      <c r="H16" s="7">
        <f t="shared" si="0"/>
        <v>12</v>
      </c>
      <c r="I16" s="5">
        <f t="shared" si="0"/>
        <v>13</v>
      </c>
      <c r="J16" s="4">
        <v>14</v>
      </c>
      <c r="K16" s="9" t="str">
        <f t="shared" si="2"/>
        <v>7,8
11,12</v>
      </c>
      <c r="L16" s="6"/>
      <c r="M16" s="2"/>
      <c r="N16" s="21" t="str">
        <f t="shared" si="1"/>
        <v>9,10
13,14</v>
      </c>
      <c r="P16">
        <f t="shared" si="16"/>
        <v>0</v>
      </c>
      <c r="Q16">
        <f t="shared" si="16"/>
        <v>0</v>
      </c>
      <c r="R16">
        <f t="shared" si="16"/>
        <v>0</v>
      </c>
      <c r="S16">
        <f t="shared" si="16"/>
        <v>0</v>
      </c>
      <c r="T16">
        <f t="shared" si="16"/>
        <v>0</v>
      </c>
      <c r="U16" t="str">
        <f t="shared" si="16"/>
        <v>1,2
5,6</v>
      </c>
      <c r="V16" t="str">
        <f t="shared" si="16"/>
        <v>2,3
6,7</v>
      </c>
      <c r="W16" t="str">
        <f t="shared" si="16"/>
        <v>3,4
7,8</v>
      </c>
      <c r="X16" t="str">
        <f t="shared" si="16"/>
        <v>5,6
9,10</v>
      </c>
      <c r="Y16" t="str">
        <f>K15</f>
        <v>6,7
10,11</v>
      </c>
      <c r="Z16" s="3">
        <v>14</v>
      </c>
      <c r="AA16">
        <f t="shared" si="17"/>
        <v>0</v>
      </c>
      <c r="AB16">
        <f t="shared" si="18"/>
        <v>0</v>
      </c>
      <c r="AC16">
        <f t="shared" si="19"/>
        <v>0</v>
      </c>
      <c r="AD16">
        <f t="shared" si="20"/>
        <v>0</v>
      </c>
      <c r="AE16">
        <f t="shared" si="21"/>
        <v>0</v>
      </c>
      <c r="AF16" t="str">
        <f t="shared" si="22"/>
        <v>3,4
7,8</v>
      </c>
      <c r="AG16" t="str">
        <f t="shared" si="23"/>
        <v>3,4
7,8</v>
      </c>
      <c r="AH16" t="str">
        <f t="shared" si="24"/>
        <v>6,7
10,11</v>
      </c>
      <c r="AI16" t="str">
        <f t="shared" ref="AI16:AI18" si="25">AJ15</f>
        <v>7,8
11,12</v>
      </c>
      <c r="AJ16" t="str">
        <f>AJ15</f>
        <v>7,8
11,12</v>
      </c>
    </row>
    <row r="17" spans="1:36" x14ac:dyDescent="0.25">
      <c r="A17" s="3">
        <v>15</v>
      </c>
      <c r="B17" s="3">
        <v>15</v>
      </c>
      <c r="C17" s="9">
        <f t="shared" si="0"/>
        <v>8</v>
      </c>
      <c r="D17" s="7">
        <f t="shared" si="0"/>
        <v>9</v>
      </c>
      <c r="E17" s="5">
        <f t="shared" si="0"/>
        <v>10</v>
      </c>
      <c r="F17" s="4">
        <f t="shared" si="0"/>
        <v>11</v>
      </c>
      <c r="G17" s="9">
        <f t="shared" si="0"/>
        <v>12</v>
      </c>
      <c r="H17" s="7">
        <f t="shared" si="0"/>
        <v>13</v>
      </c>
      <c r="I17" s="5">
        <f t="shared" si="0"/>
        <v>14</v>
      </c>
      <c r="J17" s="4">
        <v>15</v>
      </c>
      <c r="K17" s="9" t="s">
        <v>0</v>
      </c>
      <c r="L17" s="6"/>
      <c r="M17" s="2"/>
      <c r="N17" s="21" t="str">
        <f t="shared" si="1"/>
        <v>10,11
14,15</v>
      </c>
      <c r="P17">
        <f t="shared" si="16"/>
        <v>0</v>
      </c>
      <c r="Q17">
        <f t="shared" si="16"/>
        <v>0</v>
      </c>
      <c r="R17">
        <f t="shared" si="16"/>
        <v>0</v>
      </c>
      <c r="S17">
        <f t="shared" si="16"/>
        <v>0</v>
      </c>
      <c r="T17" t="str">
        <f t="shared" si="16"/>
        <v>1,2
5,6</v>
      </c>
      <c r="U17" t="str">
        <f t="shared" si="16"/>
        <v>2,3
6,7</v>
      </c>
      <c r="V17" t="str">
        <f t="shared" si="16"/>
        <v>3,4
7,8</v>
      </c>
      <c r="W17" t="str">
        <f t="shared" si="16"/>
        <v>5,6
9,10</v>
      </c>
      <c r="X17" t="str">
        <f t="shared" si="16"/>
        <v>6,7
10,11</v>
      </c>
      <c r="Y17" t="str">
        <f>K16</f>
        <v>7,8
11,12</v>
      </c>
      <c r="Z17" s="3">
        <v>15</v>
      </c>
      <c r="AA17">
        <f t="shared" si="17"/>
        <v>0</v>
      </c>
      <c r="AB17">
        <f t="shared" si="18"/>
        <v>0</v>
      </c>
      <c r="AC17">
        <f t="shared" si="19"/>
        <v>0</v>
      </c>
      <c r="AD17">
        <f t="shared" si="20"/>
        <v>0</v>
      </c>
      <c r="AE17" t="str">
        <f t="shared" si="21"/>
        <v>3,4
7,8</v>
      </c>
      <c r="AF17" t="str">
        <f t="shared" si="22"/>
        <v>3,4
7,8</v>
      </c>
      <c r="AG17" t="str">
        <f t="shared" si="23"/>
        <v>6,7
10,11</v>
      </c>
      <c r="AH17" t="str">
        <f t="shared" si="24"/>
        <v>7,8
11,12</v>
      </c>
      <c r="AI17" t="str">
        <f t="shared" si="25"/>
        <v>7,8
11,12</v>
      </c>
      <c r="AJ17" t="str">
        <f>N16</f>
        <v>9,10
13,14</v>
      </c>
    </row>
    <row r="18" spans="1:36" x14ac:dyDescent="0.25">
      <c r="A18" s="3">
        <v>16</v>
      </c>
      <c r="B18" s="3">
        <v>16</v>
      </c>
      <c r="C18" s="9">
        <f t="shared" si="0"/>
        <v>9</v>
      </c>
      <c r="D18" s="7">
        <f t="shared" si="0"/>
        <v>10</v>
      </c>
      <c r="E18" s="5">
        <f t="shared" si="0"/>
        <v>11</v>
      </c>
      <c r="F18" s="4">
        <f t="shared" si="0"/>
        <v>12</v>
      </c>
      <c r="G18" s="9">
        <f t="shared" si="0"/>
        <v>13</v>
      </c>
      <c r="H18" s="7">
        <f t="shared" si="0"/>
        <v>14</v>
      </c>
      <c r="I18" s="5">
        <f t="shared" si="0"/>
        <v>15</v>
      </c>
      <c r="J18" s="4">
        <v>16</v>
      </c>
      <c r="K18" s="9" t="str">
        <f t="shared" si="2"/>
        <v>9,10
13,14</v>
      </c>
      <c r="L18" s="6"/>
      <c r="M18" s="2"/>
      <c r="N18" s="21" t="str">
        <f t="shared" si="1"/>
        <v>11,12
15,16</v>
      </c>
      <c r="P18">
        <f t="shared" ref="P18:X18" si="26">P17</f>
        <v>0</v>
      </c>
      <c r="Q18">
        <f t="shared" si="26"/>
        <v>0</v>
      </c>
      <c r="R18">
        <f t="shared" si="26"/>
        <v>0</v>
      </c>
      <c r="S18">
        <f t="shared" si="26"/>
        <v>0</v>
      </c>
      <c r="T18" t="str">
        <f t="shared" si="26"/>
        <v>1,2
5,6</v>
      </c>
      <c r="U18" t="str">
        <f t="shared" si="26"/>
        <v>2,3
6,7</v>
      </c>
      <c r="V18" t="str">
        <f t="shared" si="26"/>
        <v>3,4
7,8</v>
      </c>
      <c r="W18" t="str">
        <f t="shared" si="26"/>
        <v>5,6
9,10</v>
      </c>
      <c r="X18" t="str">
        <f t="shared" si="26"/>
        <v>6,7
10,11</v>
      </c>
      <c r="Y18" t="str">
        <f>Y17</f>
        <v>7,8
11,12</v>
      </c>
      <c r="Z18" s="3">
        <v>16</v>
      </c>
      <c r="AA18">
        <f t="shared" ref="AA18:AI18" si="27">AA17</f>
        <v>0</v>
      </c>
      <c r="AB18">
        <f t="shared" si="27"/>
        <v>0</v>
      </c>
      <c r="AC18">
        <f t="shared" si="27"/>
        <v>0</v>
      </c>
      <c r="AD18">
        <f t="shared" si="27"/>
        <v>0</v>
      </c>
      <c r="AE18" t="str">
        <f t="shared" si="27"/>
        <v>3,4
7,8</v>
      </c>
      <c r="AF18" t="str">
        <f t="shared" si="27"/>
        <v>3,4
7,8</v>
      </c>
      <c r="AG18" t="str">
        <f t="shared" si="27"/>
        <v>6,7
10,11</v>
      </c>
      <c r="AH18" t="str">
        <f t="shared" si="27"/>
        <v>7,8
11,12</v>
      </c>
      <c r="AI18" t="str">
        <f t="shared" si="27"/>
        <v>7,8
11,12</v>
      </c>
      <c r="AJ18" t="str">
        <f>N17</f>
        <v>10,11
14,15</v>
      </c>
    </row>
    <row r="19" spans="1:36" x14ac:dyDescent="0.25">
      <c r="A19" s="3">
        <v>17</v>
      </c>
      <c r="B19" s="3" t="s">
        <v>10</v>
      </c>
      <c r="C19" s="9">
        <f t="shared" si="0"/>
        <v>10</v>
      </c>
      <c r="D19" s="7">
        <f t="shared" si="0"/>
        <v>11</v>
      </c>
      <c r="E19" s="5">
        <f t="shared" si="0"/>
        <v>12</v>
      </c>
      <c r="F19" s="4">
        <f t="shared" si="0"/>
        <v>13</v>
      </c>
      <c r="G19" s="9">
        <f t="shared" si="0"/>
        <v>14</v>
      </c>
      <c r="H19" s="7">
        <f t="shared" si="0"/>
        <v>15</v>
      </c>
      <c r="I19" s="5">
        <f t="shared" si="0"/>
        <v>16</v>
      </c>
      <c r="J19" s="4">
        <v>0</v>
      </c>
      <c r="K19" s="9" t="str">
        <f t="shared" si="2"/>
        <v>10,11
14,15</v>
      </c>
      <c r="L19" s="6"/>
      <c r="M19" s="2"/>
      <c r="N19" s="21"/>
      <c r="P19">
        <f t="shared" si="4"/>
        <v>0</v>
      </c>
      <c r="Q19">
        <f t="shared" si="4"/>
        <v>0</v>
      </c>
      <c r="R19">
        <f t="shared" si="4"/>
        <v>0</v>
      </c>
      <c r="S19" t="str">
        <f t="shared" si="4"/>
        <v>1,2
5,6</v>
      </c>
      <c r="T19" t="str">
        <f t="shared" si="4"/>
        <v>2,3
6,7</v>
      </c>
      <c r="U19" t="str">
        <f t="shared" si="4"/>
        <v>3,4
7,8</v>
      </c>
      <c r="V19" t="str">
        <f t="shared" si="4"/>
        <v>5,6
9,10</v>
      </c>
      <c r="W19" t="str">
        <f t="shared" si="4"/>
        <v>6,7
10,11</v>
      </c>
      <c r="X19" t="str">
        <f t="shared" si="4"/>
        <v>7,8
11,12</v>
      </c>
      <c r="Y19" s="1" t="str">
        <f>K18</f>
        <v>9,10
13,14</v>
      </c>
      <c r="Z19" s="3">
        <v>17</v>
      </c>
      <c r="AA19" s="21">
        <f t="shared" ref="AA19:AA21" si="28">AB18</f>
        <v>0</v>
      </c>
      <c r="AB19" s="21">
        <f t="shared" ref="AB19:AB21" si="29">AC18</f>
        <v>0</v>
      </c>
      <c r="AC19" s="21">
        <f t="shared" ref="AC19:AC21" si="30">AD18</f>
        <v>0</v>
      </c>
      <c r="AD19" s="21" t="str">
        <f t="shared" ref="AD19:AD21" si="31">AE18</f>
        <v>3,4
7,8</v>
      </c>
      <c r="AE19" s="21" t="str">
        <f t="shared" ref="AE19:AE21" si="32">AF18</f>
        <v>3,4
7,8</v>
      </c>
      <c r="AF19" s="21" t="str">
        <f t="shared" ref="AF19:AF21" si="33">AG18</f>
        <v>6,7
10,11</v>
      </c>
      <c r="AG19" s="21" t="str">
        <f t="shared" ref="AG19:AG21" si="34">AH18</f>
        <v>7,8
11,12</v>
      </c>
      <c r="AH19" s="21" t="str">
        <f t="shared" ref="AH19:AH21" si="35">AI18</f>
        <v>7,8
11,12</v>
      </c>
      <c r="AI19" s="21" t="str">
        <f t="shared" ref="AI19:AI21" si="36">AJ18</f>
        <v>10,11
14,15</v>
      </c>
      <c r="AJ19" s="21" t="str">
        <f>N18</f>
        <v>11,12
15,16</v>
      </c>
    </row>
    <row r="20" spans="1:36" x14ac:dyDescent="0.25">
      <c r="A20" s="3">
        <v>18</v>
      </c>
      <c r="B20" s="3" t="s">
        <v>10</v>
      </c>
      <c r="C20" s="9">
        <f t="shared" ref="C20:I20" si="37">D19</f>
        <v>11</v>
      </c>
      <c r="D20" s="7">
        <f t="shared" si="37"/>
        <v>12</v>
      </c>
      <c r="E20" s="5">
        <f t="shared" si="37"/>
        <v>13</v>
      </c>
      <c r="F20" s="4">
        <f t="shared" si="37"/>
        <v>14</v>
      </c>
      <c r="G20" s="9">
        <f t="shared" si="37"/>
        <v>15</v>
      </c>
      <c r="H20" s="7">
        <f t="shared" si="37"/>
        <v>16</v>
      </c>
      <c r="I20" s="5">
        <f t="shared" si="37"/>
        <v>0</v>
      </c>
      <c r="J20" s="4">
        <v>0</v>
      </c>
      <c r="K20" s="9" t="str">
        <f t="shared" si="2"/>
        <v>11,12
15,16</v>
      </c>
      <c r="L20" s="6"/>
      <c r="M20" s="2"/>
      <c r="N20" s="21"/>
      <c r="P20">
        <f t="shared" si="4"/>
        <v>0</v>
      </c>
      <c r="Q20">
        <f t="shared" si="4"/>
        <v>0</v>
      </c>
      <c r="R20" t="str">
        <f t="shared" si="4"/>
        <v>1,2
5,6</v>
      </c>
      <c r="S20" t="str">
        <f t="shared" si="4"/>
        <v>2,3
6,7</v>
      </c>
      <c r="T20" t="str">
        <f t="shared" si="4"/>
        <v>3,4
7,8</v>
      </c>
      <c r="U20" t="str">
        <f t="shared" si="4"/>
        <v>5,6
9,10</v>
      </c>
      <c r="V20" t="str">
        <f t="shared" si="4"/>
        <v>6,7
10,11</v>
      </c>
      <c r="W20" t="str">
        <f t="shared" si="4"/>
        <v>7,8
11,12</v>
      </c>
      <c r="X20" t="str">
        <f t="shared" si="4"/>
        <v>9,10
13,14</v>
      </c>
      <c r="Y20" t="str">
        <f>K19</f>
        <v>10,11
14,15</v>
      </c>
      <c r="Z20" s="3">
        <v>18</v>
      </c>
    </row>
    <row r="21" spans="1:36" x14ac:dyDescent="0.25">
      <c r="A21" s="3">
        <v>19</v>
      </c>
      <c r="B21" s="3"/>
      <c r="C21" s="9" t="s">
        <v>0</v>
      </c>
      <c r="D21" s="7"/>
      <c r="E21" s="5"/>
      <c r="F21" s="4"/>
      <c r="G21" s="9"/>
      <c r="H21" s="7"/>
      <c r="I21" s="5"/>
      <c r="J21" s="4"/>
      <c r="K21" s="9"/>
      <c r="L21" s="6"/>
      <c r="M21" s="2"/>
      <c r="N21" s="21"/>
      <c r="P21">
        <f t="shared" si="4"/>
        <v>0</v>
      </c>
      <c r="Q21" s="10" t="str">
        <f t="shared" si="4"/>
        <v>1,2
5,6</v>
      </c>
      <c r="R21" s="10" t="str">
        <f t="shared" si="4"/>
        <v>2,3
6,7</v>
      </c>
      <c r="S21" s="10" t="str">
        <f t="shared" si="4"/>
        <v>3,4
7,8</v>
      </c>
      <c r="T21" s="10" t="str">
        <f t="shared" si="4"/>
        <v>5,6
9,10</v>
      </c>
      <c r="U21" s="10" t="str">
        <f t="shared" si="4"/>
        <v>6,7
10,11</v>
      </c>
      <c r="V21" s="10" t="str">
        <f t="shared" si="4"/>
        <v>7,8
11,12</v>
      </c>
      <c r="W21" s="10" t="str">
        <f t="shared" si="4"/>
        <v>9,10
13,14</v>
      </c>
      <c r="X21" s="10" t="str">
        <f t="shared" si="4"/>
        <v>10,11
14,15</v>
      </c>
      <c r="Y21" s="10" t="str">
        <f>K20</f>
        <v>11,12
15,16</v>
      </c>
      <c r="Z21" s="3">
        <v>19</v>
      </c>
      <c r="AA21" s="62"/>
      <c r="AB21" s="62"/>
      <c r="AC21" s="62"/>
      <c r="AD21" s="62"/>
      <c r="AE21" s="62"/>
      <c r="AF21" s="62"/>
      <c r="AG21" s="62"/>
      <c r="AH21" s="62"/>
      <c r="AI21" s="62"/>
      <c r="AJ21" s="62"/>
    </row>
    <row r="22" spans="1:36" x14ac:dyDescent="0.25">
      <c r="AA22" s="63"/>
      <c r="AB22" s="63"/>
      <c r="AC22" s="63"/>
      <c r="AD22" s="63"/>
      <c r="AE22" s="63"/>
      <c r="AF22" s="63"/>
      <c r="AG22" s="63"/>
      <c r="AH22" s="63"/>
      <c r="AI22" s="63"/>
      <c r="AJ22" s="63"/>
    </row>
    <row r="27" spans="1:36" x14ac:dyDescent="0.25">
      <c r="A27" s="3" t="s">
        <v>1</v>
      </c>
      <c r="B27" s="3" t="s">
        <v>2</v>
      </c>
      <c r="C27" s="9" t="s">
        <v>3</v>
      </c>
      <c r="D27" s="7" t="s">
        <v>11</v>
      </c>
      <c r="E27" s="5" t="s">
        <v>4</v>
      </c>
      <c r="F27" s="4" t="s">
        <v>5</v>
      </c>
      <c r="G27" s="9" t="s">
        <v>6</v>
      </c>
      <c r="H27" s="7" t="s">
        <v>7</v>
      </c>
      <c r="I27" s="5" t="s">
        <v>8</v>
      </c>
      <c r="J27" s="4" t="s">
        <v>9</v>
      </c>
      <c r="K27" s="9" t="s">
        <v>12</v>
      </c>
      <c r="L27" s="5"/>
      <c r="M27" s="4"/>
      <c r="N27" s="9" t="str">
        <f t="shared" ref="N27:P35" si="38">K27</f>
        <v>det22_c</v>
      </c>
      <c r="O27" s="5">
        <f t="shared" si="38"/>
        <v>0</v>
      </c>
      <c r="P27" s="4">
        <f t="shared" si="38"/>
        <v>0</v>
      </c>
      <c r="Q27" s="3" t="s">
        <v>36</v>
      </c>
      <c r="R27" s="3" t="s">
        <v>80</v>
      </c>
      <c r="S27" s="3" t="s">
        <v>22</v>
      </c>
      <c r="T27" s="3" t="s">
        <v>15</v>
      </c>
      <c r="U27" s="36" t="str">
        <f>LEFT(T27, LEN(T27)-2) &amp; "1]"</f>
        <v>det22_reg [1]</v>
      </c>
    </row>
    <row r="28" spans="1:36" x14ac:dyDescent="0.25">
      <c r="A28" s="3">
        <v>0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38"/>
        <v>0</v>
      </c>
      <c r="O28" s="5">
        <f t="shared" si="38"/>
        <v>0</v>
      </c>
      <c r="P28" s="4">
        <f t="shared" si="38"/>
        <v>0</v>
      </c>
      <c r="Q28" s="3" t="s">
        <v>71</v>
      </c>
      <c r="R28" s="3"/>
      <c r="S28" s="3"/>
      <c r="T28" s="3"/>
      <c r="U28" s="36" t="s">
        <v>75</v>
      </c>
    </row>
    <row r="29" spans="1:36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507</v>
      </c>
      <c r="K29" s="9"/>
      <c r="L29" s="5"/>
      <c r="M29" s="4"/>
      <c r="N29" s="9">
        <f t="shared" si="38"/>
        <v>0</v>
      </c>
      <c r="O29" s="5">
        <f t="shared" si="38"/>
        <v>0</v>
      </c>
      <c r="P29" s="4">
        <f t="shared" si="38"/>
        <v>0</v>
      </c>
      <c r="Q29" s="3"/>
      <c r="R29" s="3"/>
      <c r="S29" s="3"/>
      <c r="T29" s="3"/>
      <c r="U29" s="36"/>
    </row>
    <row r="30" spans="1:36" x14ac:dyDescent="0.25">
      <c r="A30" s="3">
        <v>2</v>
      </c>
      <c r="B30" s="3">
        <v>2</v>
      </c>
      <c r="C30" s="9" t="str">
        <f t="shared" ref="C30:I46" si="39">D29</f>
        <v>X</v>
      </c>
      <c r="D30" s="7" t="str">
        <f t="shared" si="39"/>
        <v>X</v>
      </c>
      <c r="E30" s="5" t="str">
        <f t="shared" si="39"/>
        <v>X</v>
      </c>
      <c r="F30" s="4" t="str">
        <f t="shared" si="39"/>
        <v>X</v>
      </c>
      <c r="G30" s="9" t="str">
        <f t="shared" si="39"/>
        <v>X</v>
      </c>
      <c r="H30" s="7" t="str">
        <f t="shared" si="39"/>
        <v>X</v>
      </c>
      <c r="I30" s="5">
        <f>J29</f>
        <v>507</v>
      </c>
      <c r="J30" s="4">
        <v>926</v>
      </c>
      <c r="K30" s="9"/>
      <c r="L30" s="5"/>
      <c r="M30" s="4"/>
      <c r="N30" s="9">
        <f t="shared" si="38"/>
        <v>0</v>
      </c>
      <c r="O30" s="5">
        <f t="shared" si="38"/>
        <v>0</v>
      </c>
      <c r="P30" s="4">
        <f t="shared" si="38"/>
        <v>0</v>
      </c>
      <c r="Q30" s="3"/>
      <c r="R30" s="3"/>
      <c r="S30" s="3"/>
      <c r="T30" s="3"/>
      <c r="U30" s="36"/>
    </row>
    <row r="31" spans="1:36" x14ac:dyDescent="0.25">
      <c r="A31" s="3">
        <v>3</v>
      </c>
      <c r="B31" s="3">
        <v>3</v>
      </c>
      <c r="C31" s="9" t="str">
        <f t="shared" si="39"/>
        <v>X</v>
      </c>
      <c r="D31" s="7" t="str">
        <f t="shared" si="39"/>
        <v>X</v>
      </c>
      <c r="E31" s="5" t="str">
        <f t="shared" si="39"/>
        <v>X</v>
      </c>
      <c r="F31" s="4" t="str">
        <f t="shared" si="39"/>
        <v>X</v>
      </c>
      <c r="G31" s="9" t="str">
        <f t="shared" si="39"/>
        <v>X</v>
      </c>
      <c r="H31" s="7">
        <f t="shared" si="39"/>
        <v>507</v>
      </c>
      <c r="I31" s="5">
        <f t="shared" si="39"/>
        <v>926</v>
      </c>
      <c r="J31" s="4">
        <v>441</v>
      </c>
      <c r="K31" s="9"/>
      <c r="L31" s="5"/>
      <c r="M31" s="4"/>
      <c r="N31" s="9">
        <f t="shared" si="38"/>
        <v>0</v>
      </c>
      <c r="O31" s="5">
        <f t="shared" si="38"/>
        <v>0</v>
      </c>
      <c r="P31" s="4">
        <f t="shared" si="38"/>
        <v>0</v>
      </c>
      <c r="Q31" s="3"/>
      <c r="R31" s="3"/>
      <c r="S31" s="3"/>
      <c r="T31" s="3"/>
      <c r="U31" s="36"/>
    </row>
    <row r="32" spans="1:36" x14ac:dyDescent="0.25">
      <c r="A32" s="3">
        <v>4</v>
      </c>
      <c r="B32" s="3">
        <v>4</v>
      </c>
      <c r="C32" s="9" t="str">
        <f t="shared" si="39"/>
        <v>X</v>
      </c>
      <c r="D32" s="7" t="str">
        <f t="shared" si="39"/>
        <v>X</v>
      </c>
      <c r="E32" s="5" t="str">
        <f t="shared" si="39"/>
        <v>X</v>
      </c>
      <c r="F32" s="4" t="str">
        <f t="shared" si="39"/>
        <v>X</v>
      </c>
      <c r="G32" s="9">
        <f t="shared" si="39"/>
        <v>507</v>
      </c>
      <c r="H32" s="7">
        <f t="shared" si="39"/>
        <v>926</v>
      </c>
      <c r="I32" s="5">
        <f t="shared" si="39"/>
        <v>441</v>
      </c>
      <c r="J32" s="4">
        <v>-785</v>
      </c>
      <c r="K32" s="9"/>
      <c r="L32" s="5"/>
      <c r="M32" s="4"/>
      <c r="N32" s="9">
        <f t="shared" si="38"/>
        <v>0</v>
      </c>
      <c r="O32" s="5">
        <f t="shared" si="38"/>
        <v>0</v>
      </c>
      <c r="P32" s="4">
        <f t="shared" si="38"/>
        <v>0</v>
      </c>
      <c r="Q32" s="3" t="s">
        <v>39</v>
      </c>
      <c r="R32" s="3"/>
      <c r="S32" s="3"/>
      <c r="T32" s="3"/>
      <c r="U32" s="36"/>
    </row>
    <row r="33" spans="1:21" x14ac:dyDescent="0.25">
      <c r="A33" s="3">
        <v>5</v>
      </c>
      <c r="B33" s="3">
        <v>5</v>
      </c>
      <c r="C33" s="9" t="str">
        <f t="shared" si="39"/>
        <v>X</v>
      </c>
      <c r="D33" s="7" t="str">
        <f t="shared" si="39"/>
        <v>X</v>
      </c>
      <c r="E33" s="5" t="str">
        <f t="shared" si="39"/>
        <v>X</v>
      </c>
      <c r="F33" s="4">
        <f t="shared" si="39"/>
        <v>507</v>
      </c>
      <c r="G33" s="9">
        <f t="shared" si="39"/>
        <v>926</v>
      </c>
      <c r="H33" s="7">
        <f t="shared" si="39"/>
        <v>441</v>
      </c>
      <c r="I33" s="5">
        <f t="shared" si="39"/>
        <v>-785</v>
      </c>
      <c r="J33" s="4">
        <v>703</v>
      </c>
      <c r="K33" s="9"/>
      <c r="L33" s="5"/>
      <c r="M33" s="4"/>
      <c r="N33" s="9">
        <f t="shared" si="38"/>
        <v>0</v>
      </c>
      <c r="O33" s="5">
        <f t="shared" si="38"/>
        <v>0</v>
      </c>
      <c r="P33" s="4">
        <f t="shared" si="38"/>
        <v>0</v>
      </c>
      <c r="Q33" s="3" t="s">
        <v>42</v>
      </c>
      <c r="R33" s="3" t="s">
        <v>40</v>
      </c>
      <c r="S33" s="3"/>
      <c r="T33" s="3"/>
      <c r="U33" s="36"/>
    </row>
    <row r="34" spans="1:21" x14ac:dyDescent="0.25">
      <c r="A34" s="3">
        <v>6</v>
      </c>
      <c r="B34" s="3">
        <v>6</v>
      </c>
      <c r="C34" s="9" t="str">
        <f t="shared" si="39"/>
        <v>X</v>
      </c>
      <c r="D34" s="7" t="str">
        <f t="shared" si="39"/>
        <v>X</v>
      </c>
      <c r="E34" s="5">
        <f t="shared" si="39"/>
        <v>507</v>
      </c>
      <c r="F34" s="4">
        <f t="shared" si="39"/>
        <v>926</v>
      </c>
      <c r="G34" s="9">
        <f t="shared" si="39"/>
        <v>441</v>
      </c>
      <c r="H34" s="7">
        <f t="shared" si="39"/>
        <v>-785</v>
      </c>
      <c r="I34" s="5">
        <f t="shared" si="39"/>
        <v>703</v>
      </c>
      <c r="J34" s="4">
        <v>473</v>
      </c>
      <c r="K34" s="9"/>
      <c r="L34" s="5"/>
      <c r="M34" s="4"/>
      <c r="N34" s="9">
        <f t="shared" si="38"/>
        <v>0</v>
      </c>
      <c r="O34" s="5">
        <f t="shared" si="38"/>
        <v>0</v>
      </c>
      <c r="P34" s="4">
        <f t="shared" si="38"/>
        <v>0</v>
      </c>
      <c r="Q34" s="3"/>
      <c r="R34" s="3" t="s">
        <v>41</v>
      </c>
      <c r="S34" s="3"/>
      <c r="T34" s="3"/>
      <c r="U34" s="36"/>
    </row>
    <row r="35" spans="1:21" ht="16.5" thickBot="1" x14ac:dyDescent="0.3">
      <c r="A35" s="3">
        <v>7</v>
      </c>
      <c r="B35" s="3">
        <v>7</v>
      </c>
      <c r="C35" s="9" t="str">
        <f t="shared" si="39"/>
        <v>X</v>
      </c>
      <c r="D35" s="7">
        <f t="shared" si="39"/>
        <v>507</v>
      </c>
      <c r="E35" s="5">
        <f t="shared" si="39"/>
        <v>926</v>
      </c>
      <c r="F35" s="4">
        <f t="shared" si="39"/>
        <v>441</v>
      </c>
      <c r="G35" s="9">
        <f t="shared" si="39"/>
        <v>-785</v>
      </c>
      <c r="H35" s="7">
        <f t="shared" si="39"/>
        <v>703</v>
      </c>
      <c r="I35" s="5">
        <f t="shared" si="39"/>
        <v>473</v>
      </c>
      <c r="J35" s="4">
        <v>-287</v>
      </c>
      <c r="K35" s="9"/>
      <c r="L35" s="5"/>
      <c r="M35" s="4"/>
      <c r="N35" s="9">
        <f t="shared" si="38"/>
        <v>0</v>
      </c>
      <c r="O35" s="5">
        <f t="shared" si="38"/>
        <v>0</v>
      </c>
      <c r="P35" s="4">
        <f t="shared" si="38"/>
        <v>0</v>
      </c>
      <c r="Q35" s="3"/>
      <c r="R35" s="3"/>
      <c r="S35" s="3"/>
      <c r="T35" s="3"/>
      <c r="U35" s="36"/>
    </row>
    <row r="36" spans="1:21" ht="16.5" thickBot="1" x14ac:dyDescent="0.3">
      <c r="A36" s="3">
        <v>8</v>
      </c>
      <c r="B36" s="11">
        <v>8</v>
      </c>
      <c r="C36" s="12">
        <f t="shared" si="39"/>
        <v>507</v>
      </c>
      <c r="D36" s="13">
        <f t="shared" si="39"/>
        <v>926</v>
      </c>
      <c r="E36" s="14">
        <f t="shared" si="39"/>
        <v>441</v>
      </c>
      <c r="F36" s="15">
        <f t="shared" si="39"/>
        <v>-785</v>
      </c>
      <c r="G36" s="12">
        <f t="shared" si="39"/>
        <v>703</v>
      </c>
      <c r="H36" s="13">
        <f t="shared" si="39"/>
        <v>473</v>
      </c>
      <c r="I36" s="14">
        <f t="shared" si="39"/>
        <v>-287</v>
      </c>
      <c r="J36" s="16">
        <v>913</v>
      </c>
      <c r="K36" s="9" t="str">
        <f>C36 &amp; "," &amp; D36 &amp; CHAR(10) &amp; G36 &amp; "," &amp; H36</f>
        <v>507,926
703,473</v>
      </c>
      <c r="L36" s="5" t="str">
        <f>C36 &amp; "," &amp; E36 &amp; CHAR(10) &amp; G36 &amp; "," &amp; I36</f>
        <v>507,441
703,-287</v>
      </c>
      <c r="M36" s="4" t="str">
        <f>C36 &amp; "," &amp; F36 &amp; CHAR(10) &amp; G36 &amp; "," &amp; J36</f>
        <v>507,-785
703,913</v>
      </c>
      <c r="N36" s="9">
        <f>D56</f>
        <v>-411167</v>
      </c>
      <c r="O36" s="5">
        <f>N56</f>
        <v>-455532</v>
      </c>
      <c r="P36" s="4">
        <f>T56</f>
        <v>1014745.9999999999</v>
      </c>
      <c r="Q36" s="3"/>
      <c r="R36" s="3"/>
      <c r="S36" s="3"/>
      <c r="T36" s="3"/>
      <c r="U36" s="36"/>
    </row>
    <row r="37" spans="1:21" x14ac:dyDescent="0.25">
      <c r="A37" s="3">
        <v>9</v>
      </c>
      <c r="B37" s="3">
        <v>9</v>
      </c>
      <c r="C37" s="9">
        <f t="shared" si="39"/>
        <v>926</v>
      </c>
      <c r="D37" s="7">
        <f t="shared" si="39"/>
        <v>441</v>
      </c>
      <c r="E37" s="5">
        <f t="shared" si="39"/>
        <v>-785</v>
      </c>
      <c r="F37" s="4">
        <f t="shared" si="39"/>
        <v>703</v>
      </c>
      <c r="G37" s="9">
        <f t="shared" si="39"/>
        <v>473</v>
      </c>
      <c r="H37" s="7">
        <f t="shared" si="39"/>
        <v>-287</v>
      </c>
      <c r="I37" s="5">
        <f t="shared" si="39"/>
        <v>913</v>
      </c>
      <c r="J37" s="4">
        <v>563</v>
      </c>
      <c r="K37" s="9" t="str">
        <f t="shared" ref="K37:K46" si="40">C37 &amp; "," &amp; D37 &amp; CHAR(10) &amp; G37 &amp; "," &amp; H37</f>
        <v>926,441
473,-287</v>
      </c>
      <c r="L37" s="5" t="str">
        <f t="shared" ref="L37" si="41">C37 &amp; "," &amp; E37 &amp; CHAR(10) &amp; G37 &amp; "," &amp; I37</f>
        <v>926,-785
473,913</v>
      </c>
      <c r="M37" s="4"/>
      <c r="N37" s="9">
        <f>E56</f>
        <v>-474355</v>
      </c>
      <c r="O37" s="5">
        <f>O56</f>
        <v>1216743</v>
      </c>
      <c r="P37" s="4">
        <f t="shared" ref="P37:P46" si="42">M37</f>
        <v>0</v>
      </c>
      <c r="Q37" s="3"/>
      <c r="R37" s="3"/>
      <c r="S37" s="3"/>
      <c r="T37" s="3"/>
      <c r="U37" s="36"/>
    </row>
    <row r="38" spans="1:21" x14ac:dyDescent="0.25">
      <c r="A38" s="3">
        <v>10</v>
      </c>
      <c r="B38" s="3">
        <v>10</v>
      </c>
      <c r="C38" s="9">
        <f t="shared" si="39"/>
        <v>441</v>
      </c>
      <c r="D38" s="7">
        <f t="shared" si="39"/>
        <v>-785</v>
      </c>
      <c r="E38" s="5">
        <f t="shared" si="39"/>
        <v>703</v>
      </c>
      <c r="F38" s="4">
        <f t="shared" si="39"/>
        <v>473</v>
      </c>
      <c r="G38" s="9">
        <f t="shared" si="39"/>
        <v>-287</v>
      </c>
      <c r="H38" s="7">
        <f t="shared" si="39"/>
        <v>913</v>
      </c>
      <c r="I38" s="5">
        <f t="shared" si="39"/>
        <v>563</v>
      </c>
      <c r="J38" s="4">
        <v>913</v>
      </c>
      <c r="K38" s="9" t="str">
        <f t="shared" si="40"/>
        <v>441,-785
-287,913</v>
      </c>
      <c r="L38" s="5"/>
      <c r="M38" s="4"/>
      <c r="N38" s="9">
        <f>F56</f>
        <v>177338</v>
      </c>
      <c r="O38" s="5">
        <f>L38</f>
        <v>0</v>
      </c>
      <c r="P38" s="4">
        <f t="shared" si="42"/>
        <v>0</v>
      </c>
      <c r="Q38" s="3">
        <f>I38*E56-J38*O36</f>
        <v>148838851</v>
      </c>
      <c r="R38" s="3"/>
      <c r="S38" s="3"/>
      <c r="T38" s="3">
        <f t="shared" ref="T38:U39" si="43">U37</f>
        <v>0</v>
      </c>
      <c r="U38" s="36">
        <f t="shared" si="43"/>
        <v>0</v>
      </c>
    </row>
    <row r="39" spans="1:21" x14ac:dyDescent="0.25">
      <c r="A39" s="3">
        <v>11</v>
      </c>
      <c r="B39" s="3">
        <v>11</v>
      </c>
      <c r="C39" s="9">
        <f t="shared" si="39"/>
        <v>-785</v>
      </c>
      <c r="D39" s="7">
        <f t="shared" si="39"/>
        <v>703</v>
      </c>
      <c r="E39" s="5">
        <f t="shared" si="39"/>
        <v>473</v>
      </c>
      <c r="F39" s="4">
        <f t="shared" si="39"/>
        <v>-287</v>
      </c>
      <c r="G39" s="9">
        <f t="shared" si="39"/>
        <v>913</v>
      </c>
      <c r="H39" s="7">
        <f t="shared" si="39"/>
        <v>563</v>
      </c>
      <c r="I39" s="5">
        <f t="shared" si="39"/>
        <v>913</v>
      </c>
      <c r="J39" s="4">
        <v>-156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42"/>
        <v>0</v>
      </c>
      <c r="Q39" s="3">
        <f>Q38+J39*N36</f>
        <v>212980903</v>
      </c>
      <c r="R39" s="3">
        <f>Q38</f>
        <v>148838851</v>
      </c>
      <c r="S39" s="3">
        <f t="shared" ref="S39" si="44">T38</f>
        <v>0</v>
      </c>
      <c r="T39" s="3">
        <f t="shared" si="43"/>
        <v>0</v>
      </c>
      <c r="U39" s="36">
        <f t="shared" si="43"/>
        <v>0</v>
      </c>
    </row>
    <row r="40" spans="1:21" x14ac:dyDescent="0.25">
      <c r="A40" s="3">
        <v>12</v>
      </c>
      <c r="B40" s="3">
        <v>12</v>
      </c>
      <c r="C40" s="9">
        <f t="shared" si="39"/>
        <v>703</v>
      </c>
      <c r="D40" s="7">
        <f t="shared" si="39"/>
        <v>473</v>
      </c>
      <c r="E40" s="5">
        <f t="shared" si="39"/>
        <v>-287</v>
      </c>
      <c r="F40" s="4">
        <f t="shared" si="39"/>
        <v>913</v>
      </c>
      <c r="G40" s="9">
        <f t="shared" si="39"/>
        <v>563</v>
      </c>
      <c r="H40" s="7">
        <f t="shared" si="39"/>
        <v>913</v>
      </c>
      <c r="I40" s="5">
        <f t="shared" si="39"/>
        <v>-156</v>
      </c>
      <c r="J40" s="4">
        <v>-80</v>
      </c>
      <c r="K40" s="9" t="str">
        <f t="shared" si="40"/>
        <v>703,473
563,913</v>
      </c>
      <c r="L40" s="5" t="str">
        <f t="shared" ref="L40:L41" si="45">C40 &amp; "," &amp; E40 &amp; CHAR(10) &amp; G40 &amp; "," &amp; I40</f>
        <v>703,-287
563,-156</v>
      </c>
      <c r="M40" s="4"/>
      <c r="N40" s="9">
        <f>D57</f>
        <v>375540.00000000006</v>
      </c>
      <c r="O40" s="5">
        <f>N57</f>
        <v>51912.999999999985</v>
      </c>
      <c r="P40" s="4">
        <f t="shared" si="42"/>
        <v>0</v>
      </c>
      <c r="Q40" s="3">
        <f>J38*N38-J39*O37</f>
        <v>351721502</v>
      </c>
      <c r="R40" s="3">
        <f t="shared" ref="R40:R46" si="46">Q39</f>
        <v>212980903</v>
      </c>
      <c r="S40" s="3">
        <f t="shared" ref="S40:U40" si="47">S39</f>
        <v>0</v>
      </c>
      <c r="T40" s="3">
        <f t="shared" si="47"/>
        <v>0</v>
      </c>
      <c r="U40" s="36">
        <f t="shared" si="47"/>
        <v>0</v>
      </c>
    </row>
    <row r="41" spans="1:21" x14ac:dyDescent="0.25">
      <c r="A41" s="3">
        <v>13</v>
      </c>
      <c r="B41" s="3">
        <v>13</v>
      </c>
      <c r="C41" s="9">
        <f t="shared" si="39"/>
        <v>473</v>
      </c>
      <c r="D41" s="7">
        <f t="shared" si="39"/>
        <v>-287</v>
      </c>
      <c r="E41" s="5">
        <f t="shared" si="39"/>
        <v>913</v>
      </c>
      <c r="F41" s="4">
        <f t="shared" si="39"/>
        <v>563</v>
      </c>
      <c r="G41" s="9">
        <f t="shared" si="39"/>
        <v>913</v>
      </c>
      <c r="H41" s="7">
        <f t="shared" si="39"/>
        <v>-156</v>
      </c>
      <c r="I41" s="5">
        <f t="shared" si="39"/>
        <v>-80</v>
      </c>
      <c r="J41" s="4">
        <v>976</v>
      </c>
      <c r="K41" s="9" t="str">
        <f t="shared" si="40"/>
        <v>473,-287
913,-156</v>
      </c>
      <c r="L41" s="5" t="str">
        <f t="shared" si="45"/>
        <v>473,913
913,-80</v>
      </c>
      <c r="M41" s="4"/>
      <c r="N41" s="9">
        <f>E57</f>
        <v>188243</v>
      </c>
      <c r="O41" s="5">
        <f>O57</f>
        <v>-871409</v>
      </c>
      <c r="P41" s="4">
        <f t="shared" si="42"/>
        <v>0</v>
      </c>
      <c r="Q41" s="3">
        <f>Q40+J40*N37</f>
        <v>389669902</v>
      </c>
      <c r="R41" s="3">
        <f t="shared" si="46"/>
        <v>351721502</v>
      </c>
      <c r="S41" s="3">
        <f t="shared" ref="S41:U43" si="48">T40</f>
        <v>0</v>
      </c>
      <c r="T41" s="3">
        <f t="shared" si="48"/>
        <v>0</v>
      </c>
      <c r="U41" s="36">
        <f t="shared" si="48"/>
        <v>0</v>
      </c>
    </row>
    <row r="42" spans="1:21" x14ac:dyDescent="0.25">
      <c r="A42" s="3">
        <v>14</v>
      </c>
      <c r="B42" s="3">
        <v>14</v>
      </c>
      <c r="C42" s="9">
        <f t="shared" si="39"/>
        <v>-287</v>
      </c>
      <c r="D42" s="7">
        <f t="shared" si="39"/>
        <v>913</v>
      </c>
      <c r="E42" s="5">
        <f t="shared" si="39"/>
        <v>563</v>
      </c>
      <c r="F42" s="4">
        <f t="shared" si="39"/>
        <v>913</v>
      </c>
      <c r="G42" s="9">
        <f t="shared" si="39"/>
        <v>-156</v>
      </c>
      <c r="H42" s="7">
        <f t="shared" si="39"/>
        <v>-80</v>
      </c>
      <c r="I42" s="5">
        <f t="shared" si="39"/>
        <v>976</v>
      </c>
      <c r="J42" s="4">
        <v>238</v>
      </c>
      <c r="K42" s="9" t="str">
        <f t="shared" si="40"/>
        <v>-287,913
-156,-80</v>
      </c>
      <c r="L42" s="5"/>
      <c r="M42" s="4"/>
      <c r="N42" s="9">
        <f>F57</f>
        <v>165388</v>
      </c>
      <c r="O42" s="5">
        <f>L42</f>
        <v>0</v>
      </c>
      <c r="P42" s="4">
        <f t="shared" si="42"/>
        <v>0</v>
      </c>
      <c r="Q42" s="3">
        <f>J41*N41-J42*O40</f>
        <v>171369874</v>
      </c>
      <c r="R42" s="3">
        <f t="shared" si="46"/>
        <v>389669902</v>
      </c>
      <c r="S42" s="3">
        <f t="shared" si="48"/>
        <v>0</v>
      </c>
      <c r="T42" s="3">
        <f t="shared" si="48"/>
        <v>0</v>
      </c>
      <c r="U42" s="36">
        <f t="shared" si="48"/>
        <v>0</v>
      </c>
    </row>
    <row r="43" spans="1:21" x14ac:dyDescent="0.25">
      <c r="A43" s="3">
        <v>15</v>
      </c>
      <c r="B43" s="3">
        <v>15</v>
      </c>
      <c r="C43" s="9">
        <f t="shared" si="39"/>
        <v>913</v>
      </c>
      <c r="D43" s="7">
        <f t="shared" si="39"/>
        <v>563</v>
      </c>
      <c r="E43" s="5">
        <f t="shared" si="39"/>
        <v>913</v>
      </c>
      <c r="F43" s="4">
        <f t="shared" si="39"/>
        <v>-156</v>
      </c>
      <c r="G43" s="9">
        <f t="shared" si="39"/>
        <v>-80</v>
      </c>
      <c r="H43" s="7">
        <f t="shared" si="39"/>
        <v>976</v>
      </c>
      <c r="I43" s="5">
        <f t="shared" si="39"/>
        <v>238</v>
      </c>
      <c r="J43" s="4">
        <v>-331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42"/>
        <v>0</v>
      </c>
      <c r="Q43" s="3">
        <f>Q42+J43*N40</f>
        <v>47066133.999999985</v>
      </c>
      <c r="R43" s="3">
        <f t="shared" si="46"/>
        <v>171369874</v>
      </c>
      <c r="S43" s="3">
        <f t="shared" si="48"/>
        <v>0</v>
      </c>
      <c r="T43" s="9">
        <f t="shared" si="48"/>
        <v>0</v>
      </c>
      <c r="U43" s="37">
        <f t="shared" si="48"/>
        <v>0</v>
      </c>
    </row>
    <row r="44" spans="1:21" x14ac:dyDescent="0.25">
      <c r="A44" s="3">
        <v>16</v>
      </c>
      <c r="B44" s="3">
        <v>16</v>
      </c>
      <c r="C44" s="9">
        <f t="shared" si="39"/>
        <v>563</v>
      </c>
      <c r="D44" s="7">
        <f t="shared" si="39"/>
        <v>913</v>
      </c>
      <c r="E44" s="5">
        <f t="shared" si="39"/>
        <v>-156</v>
      </c>
      <c r="F44" s="4">
        <f t="shared" si="39"/>
        <v>-80</v>
      </c>
      <c r="G44" s="9">
        <f t="shared" si="39"/>
        <v>976</v>
      </c>
      <c r="H44" s="7">
        <f t="shared" si="39"/>
        <v>238</v>
      </c>
      <c r="I44" s="5">
        <f t="shared" si="39"/>
        <v>-331</v>
      </c>
      <c r="J44" s="4">
        <v>695</v>
      </c>
      <c r="K44" s="9" t="str">
        <f t="shared" si="40"/>
        <v>563,913
976,238</v>
      </c>
      <c r="L44" s="5"/>
      <c r="M44" s="4"/>
      <c r="N44" s="9">
        <f>D58</f>
        <v>-757094</v>
      </c>
      <c r="O44" s="5">
        <f>L44</f>
        <v>0</v>
      </c>
      <c r="P44" s="4">
        <f t="shared" si="42"/>
        <v>0</v>
      </c>
      <c r="Q44" s="3">
        <f>J42*N42-J43*O41</f>
        <v>-249074035</v>
      </c>
      <c r="R44" s="3">
        <f t="shared" si="46"/>
        <v>47066133.999999985</v>
      </c>
      <c r="S44" s="3"/>
      <c r="T44" s="3"/>
      <c r="U44" s="36"/>
    </row>
    <row r="45" spans="1:21" x14ac:dyDescent="0.25">
      <c r="A45" s="3">
        <v>17</v>
      </c>
      <c r="B45" s="3" t="s">
        <v>10</v>
      </c>
      <c r="C45" s="9">
        <f t="shared" si="39"/>
        <v>913</v>
      </c>
      <c r="D45" s="7">
        <f t="shared" si="39"/>
        <v>-156</v>
      </c>
      <c r="E45" s="5">
        <f t="shared" si="39"/>
        <v>-80</v>
      </c>
      <c r="F45" s="4">
        <f t="shared" si="39"/>
        <v>976</v>
      </c>
      <c r="G45" s="9">
        <f t="shared" si="39"/>
        <v>238</v>
      </c>
      <c r="H45" s="7">
        <f t="shared" si="39"/>
        <v>-331</v>
      </c>
      <c r="I45" s="5">
        <f t="shared" si="39"/>
        <v>695</v>
      </c>
      <c r="J45" s="4">
        <v>0</v>
      </c>
      <c r="K45" s="9" t="str">
        <f t="shared" si="40"/>
        <v>913,-156
238,-331</v>
      </c>
      <c r="L45" s="5"/>
      <c r="M45" s="4"/>
      <c r="N45" s="9">
        <f>E58</f>
        <v>-265075</v>
      </c>
      <c r="O45" s="5">
        <f>L45</f>
        <v>0</v>
      </c>
      <c r="P45" s="4">
        <f t="shared" si="42"/>
        <v>0</v>
      </c>
      <c r="Q45" s="3">
        <f>Q44+J44*N41</f>
        <v>-118245150</v>
      </c>
      <c r="R45" s="3">
        <f t="shared" si="46"/>
        <v>-249074035</v>
      </c>
      <c r="S45" s="3"/>
      <c r="T45" s="3"/>
      <c r="U45" s="36"/>
    </row>
    <row r="46" spans="1:21" x14ac:dyDescent="0.25">
      <c r="A46" s="3">
        <v>18</v>
      </c>
      <c r="B46" s="3" t="s">
        <v>10</v>
      </c>
      <c r="C46" s="9">
        <f t="shared" si="39"/>
        <v>-156</v>
      </c>
      <c r="D46" s="7">
        <f t="shared" si="39"/>
        <v>-80</v>
      </c>
      <c r="E46" s="5">
        <f t="shared" si="39"/>
        <v>976</v>
      </c>
      <c r="F46" s="4">
        <f t="shared" si="39"/>
        <v>238</v>
      </c>
      <c r="G46" s="9">
        <f t="shared" si="39"/>
        <v>-331</v>
      </c>
      <c r="H46" s="7">
        <f t="shared" si="39"/>
        <v>695</v>
      </c>
      <c r="I46" s="5">
        <f t="shared" si="39"/>
        <v>0</v>
      </c>
      <c r="J46" s="4">
        <v>0</v>
      </c>
      <c r="K46" s="9" t="str">
        <f t="shared" si="40"/>
        <v>-156,-80
-331,695</v>
      </c>
      <c r="L46" s="5"/>
      <c r="M46" s="4"/>
      <c r="N46" s="9">
        <f>F58</f>
        <v>-134900</v>
      </c>
      <c r="O46" s="5">
        <f>L46</f>
        <v>0</v>
      </c>
      <c r="P46" s="4">
        <f t="shared" si="42"/>
        <v>0</v>
      </c>
      <c r="Q46" s="3"/>
      <c r="R46" s="3">
        <f t="shared" si="46"/>
        <v>-118245150</v>
      </c>
      <c r="S46" s="3"/>
      <c r="T46" s="3"/>
      <c r="U46" s="36"/>
    </row>
    <row r="47" spans="1:21" x14ac:dyDescent="0.25">
      <c r="A47" s="3">
        <v>19</v>
      </c>
      <c r="B47" s="3"/>
      <c r="C47" s="9">
        <f t="shared" ref="C47:I47" si="49">D46</f>
        <v>-80</v>
      </c>
      <c r="D47" s="7">
        <f t="shared" si="49"/>
        <v>976</v>
      </c>
      <c r="E47" s="5">
        <f t="shared" si="49"/>
        <v>238</v>
      </c>
      <c r="F47" s="4">
        <f t="shared" si="49"/>
        <v>-331</v>
      </c>
      <c r="G47" s="9">
        <f t="shared" si="49"/>
        <v>695</v>
      </c>
      <c r="H47" s="7">
        <f t="shared" si="49"/>
        <v>0</v>
      </c>
      <c r="I47" s="5">
        <f t="shared" si="49"/>
        <v>0</v>
      </c>
      <c r="J47" s="4">
        <v>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6"/>
    </row>
    <row r="48" spans="1:21" x14ac:dyDescent="0.25">
      <c r="A48" s="3">
        <v>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6"/>
    </row>
    <row r="51" spans="3:21" x14ac:dyDescent="0.25">
      <c r="C51">
        <f>J29</f>
        <v>507</v>
      </c>
      <c r="D51">
        <f>J30</f>
        <v>926</v>
      </c>
      <c r="E51">
        <f>J31</f>
        <v>441</v>
      </c>
      <c r="F51">
        <f>J32</f>
        <v>-785</v>
      </c>
      <c r="H51" s="19">
        <f>C51</f>
        <v>507</v>
      </c>
      <c r="I51" s="19">
        <f>E51</f>
        <v>441</v>
      </c>
      <c r="J51" s="19"/>
      <c r="K51" s="19">
        <f>D51</f>
        <v>926</v>
      </c>
      <c r="L51" s="19">
        <f>F51</f>
        <v>-785</v>
      </c>
      <c r="M51" s="19"/>
      <c r="N51" s="19">
        <f>C52</f>
        <v>703</v>
      </c>
      <c r="O51" s="19">
        <f>E52</f>
        <v>-287</v>
      </c>
      <c r="P51" s="19"/>
      <c r="Q51" s="19">
        <f>D52</f>
        <v>473</v>
      </c>
      <c r="R51" s="19">
        <f>F52</f>
        <v>913</v>
      </c>
      <c r="T51" s="18">
        <f>C51</f>
        <v>507</v>
      </c>
      <c r="U51" s="18">
        <f>F51</f>
        <v>-785</v>
      </c>
    </row>
    <row r="52" spans="3:21" x14ac:dyDescent="0.25">
      <c r="C52">
        <f>J33</f>
        <v>703</v>
      </c>
      <c r="D52">
        <f>J34</f>
        <v>473</v>
      </c>
      <c r="E52">
        <f>J35</f>
        <v>-287</v>
      </c>
      <c r="F52">
        <f>J36</f>
        <v>913</v>
      </c>
      <c r="H52" s="19">
        <f>C52</f>
        <v>703</v>
      </c>
      <c r="I52" s="19">
        <f>E52</f>
        <v>-287</v>
      </c>
      <c r="J52" s="19"/>
      <c r="K52" s="19">
        <f>D52</f>
        <v>473</v>
      </c>
      <c r="L52" s="19">
        <f>F52</f>
        <v>913</v>
      </c>
      <c r="M52" s="19"/>
      <c r="N52" s="19">
        <f>C53</f>
        <v>563</v>
      </c>
      <c r="O52" s="19">
        <f>E53</f>
        <v>-156</v>
      </c>
      <c r="P52" s="19"/>
      <c r="Q52" s="19">
        <f>D53</f>
        <v>913</v>
      </c>
      <c r="R52" s="19">
        <f>F53</f>
        <v>-80</v>
      </c>
      <c r="T52" s="18">
        <f>C52</f>
        <v>703</v>
      </c>
      <c r="U52" s="18">
        <f>F52</f>
        <v>913</v>
      </c>
    </row>
    <row r="53" spans="3:21" x14ac:dyDescent="0.25">
      <c r="C53">
        <f>J37</f>
        <v>563</v>
      </c>
      <c r="D53">
        <f>J38</f>
        <v>913</v>
      </c>
      <c r="E53">
        <f>J39</f>
        <v>-156</v>
      </c>
      <c r="F53">
        <f>J40</f>
        <v>-80</v>
      </c>
    </row>
    <row r="54" spans="3:21" x14ac:dyDescent="0.25">
      <c r="C54">
        <f>J41</f>
        <v>976</v>
      </c>
      <c r="D54">
        <f>J42</f>
        <v>238</v>
      </c>
      <c r="E54">
        <f>J43</f>
        <v>-331</v>
      </c>
      <c r="F54">
        <f>J44</f>
        <v>695</v>
      </c>
    </row>
    <row r="56" spans="3:21" ht="17.25" x14ac:dyDescent="0.3">
      <c r="C56" t="s">
        <v>107</v>
      </c>
      <c r="D56" s="58">
        <f>MDETERM(C51:D52)</f>
        <v>-411167</v>
      </c>
      <c r="E56" s="58">
        <f>MDETERM(D51:E52)</f>
        <v>-474355</v>
      </c>
      <c r="F56" s="58">
        <f>MDETERM(E51:F52)</f>
        <v>177338</v>
      </c>
      <c r="G56" s="10">
        <f>D57</f>
        <v>375540.00000000006</v>
      </c>
      <c r="H56" s="10">
        <f>E57</f>
        <v>188243</v>
      </c>
      <c r="I56" s="10">
        <f>F57</f>
        <v>165388</v>
      </c>
      <c r="J56" s="10">
        <f>D58</f>
        <v>-757094</v>
      </c>
      <c r="K56" s="10">
        <f>E58</f>
        <v>-265075</v>
      </c>
      <c r="L56" s="10">
        <f>F58</f>
        <v>-134900</v>
      </c>
      <c r="M56" s="10"/>
      <c r="N56" s="6">
        <f>MDETERM(H51:I52)</f>
        <v>-455532</v>
      </c>
      <c r="O56" s="6">
        <f>MDETERM(K51:L52)</f>
        <v>1216743</v>
      </c>
      <c r="P56">
        <f>N57</f>
        <v>51912.999999999985</v>
      </c>
      <c r="Q56">
        <f>O57</f>
        <v>-871409</v>
      </c>
      <c r="T56">
        <f>MDETERM(T51:U52)</f>
        <v>1014745.9999999999</v>
      </c>
    </row>
    <row r="57" spans="3:21" ht="17.25" x14ac:dyDescent="0.3">
      <c r="D57" s="58">
        <f t="shared" ref="D57:F58" si="50">MDETERM(C52:D53)</f>
        <v>375540.00000000006</v>
      </c>
      <c r="E57" s="58">
        <f t="shared" si="50"/>
        <v>188243</v>
      </c>
      <c r="F57" s="58">
        <f t="shared" si="50"/>
        <v>165388</v>
      </c>
      <c r="N57" s="6">
        <f>MDETERM(N51:O52)</f>
        <v>51912.999999999985</v>
      </c>
      <c r="O57" s="6">
        <f>MDETERM(Q51:R52)</f>
        <v>-871409</v>
      </c>
    </row>
    <row r="58" spans="3:21" ht="17.25" x14ac:dyDescent="0.3">
      <c r="D58" s="58">
        <f t="shared" si="50"/>
        <v>-757094</v>
      </c>
      <c r="E58" s="58">
        <f t="shared" si="50"/>
        <v>-265075</v>
      </c>
      <c r="F58" s="58">
        <f t="shared" si="50"/>
        <v>-134900</v>
      </c>
    </row>
    <row r="61" spans="3:21" x14ac:dyDescent="0.25">
      <c r="C61" t="s">
        <v>108</v>
      </c>
      <c r="D61">
        <f>MDETERM(C51:E53)</f>
        <v>212980903.00000006</v>
      </c>
      <c r="E61">
        <f>MDETERM(D51:F53)</f>
        <v>389669902</v>
      </c>
      <c r="F61">
        <f>D62</f>
        <v>47066134</v>
      </c>
      <c r="G61">
        <f>E62</f>
        <v>-118245149.99999999</v>
      </c>
    </row>
    <row r="62" spans="3:21" x14ac:dyDescent="0.25">
      <c r="D62">
        <f>MDETERM(C52:E54)</f>
        <v>47066134</v>
      </c>
      <c r="E62">
        <f>MDETERM(D52:F54)</f>
        <v>-118245149.99999999</v>
      </c>
    </row>
    <row r="65" spans="3:4" x14ac:dyDescent="0.25">
      <c r="C65" t="s">
        <v>109</v>
      </c>
      <c r="D65">
        <f>MDETERM(C51:F54)</f>
        <v>-231212925026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711A-E782-44E1-9F12-C0BE654555C3}">
  <dimension ref="A1:AD65"/>
  <sheetViews>
    <sheetView zoomScale="70" zoomScaleNormal="70" workbookViewId="0">
      <selection activeCell="Q13" sqref="A13:Q13"/>
    </sheetView>
  </sheetViews>
  <sheetFormatPr defaultRowHeight="15.75" x14ac:dyDescent="0.25"/>
  <cols>
    <col min="9" max="9" width="16.140625" bestFit="1" customWidth="1"/>
    <col min="16" max="16" width="7.42578125" bestFit="1" customWidth="1"/>
    <col min="17" max="18" width="35.140625" bestFit="1" customWidth="1"/>
    <col min="19" max="19" width="8.42578125" bestFit="1" customWidth="1"/>
    <col min="20" max="20" width="13" bestFit="1" customWidth="1"/>
    <col min="21" max="24" width="26.5703125" bestFit="1" customWidth="1"/>
    <col min="25" max="25" width="26" bestFit="1" customWidth="1"/>
    <col min="26" max="28" width="24.85546875" bestFit="1" customWidth="1"/>
    <col min="29" max="29" width="24.42578125" bestFit="1" customWidth="1"/>
    <col min="30" max="30" width="6" bestFit="1" customWidth="1"/>
  </cols>
  <sheetData>
    <row r="1" spans="1:30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L1" s="5"/>
      <c r="M1" s="4"/>
      <c r="N1" s="9" t="str">
        <f t="shared" ref="N1:N12" si="0">K1</f>
        <v>det22_c</v>
      </c>
      <c r="O1" s="5">
        <f t="shared" ref="O1:O12" si="1">L1</f>
        <v>0</v>
      </c>
      <c r="P1" s="4">
        <f t="shared" ref="P1:P12" si="2">M1</f>
        <v>0</v>
      </c>
      <c r="Q1" s="3" t="s">
        <v>36</v>
      </c>
      <c r="R1" s="3" t="s">
        <v>80</v>
      </c>
      <c r="S1" s="3" t="s">
        <v>22</v>
      </c>
      <c r="T1" s="3" t="s">
        <v>15</v>
      </c>
      <c r="U1" s="36" t="str">
        <f>LEFT(T1, LEN(T1)-2) &amp; "1]"</f>
        <v>det22_reg [1]</v>
      </c>
      <c r="V1" s="3" t="s">
        <v>16</v>
      </c>
      <c r="W1" s="3" t="s">
        <v>17</v>
      </c>
      <c r="X1" s="3" t="s">
        <v>14</v>
      </c>
      <c r="Y1" s="3" t="s">
        <v>18</v>
      </c>
      <c r="Z1" s="3" t="s">
        <v>19</v>
      </c>
      <c r="AA1" s="3" t="s">
        <v>20</v>
      </c>
      <c r="AB1" s="3" t="s">
        <v>33</v>
      </c>
      <c r="AC1" s="3" t="s">
        <v>34</v>
      </c>
      <c r="AD1" s="3" t="s">
        <v>23</v>
      </c>
    </row>
    <row r="2" spans="1:30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9">
        <f t="shared" si="0"/>
        <v>0</v>
      </c>
      <c r="O2" s="5">
        <f t="shared" si="1"/>
        <v>0</v>
      </c>
      <c r="P2" s="4">
        <f t="shared" si="2"/>
        <v>0</v>
      </c>
      <c r="Q2" s="3" t="s">
        <v>71</v>
      </c>
      <c r="R2" s="3"/>
      <c r="S2" s="3"/>
      <c r="T2" s="3"/>
      <c r="U2" s="36" t="s">
        <v>75</v>
      </c>
      <c r="V2" s="3" t="s">
        <v>74</v>
      </c>
      <c r="W2" s="3" t="s">
        <v>96</v>
      </c>
      <c r="X2" s="3" t="s">
        <v>78</v>
      </c>
      <c r="Y2" s="3" t="s">
        <v>76</v>
      </c>
      <c r="Z2" s="3" t="s">
        <v>73</v>
      </c>
      <c r="AA2" s="3" t="s">
        <v>72</v>
      </c>
      <c r="AB2" s="3" t="s">
        <v>79</v>
      </c>
      <c r="AC2" s="3" t="s">
        <v>77</v>
      </c>
      <c r="AD2" s="3"/>
    </row>
    <row r="3" spans="1:30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9">
        <f t="shared" si="0"/>
        <v>0</v>
      </c>
      <c r="O3" s="5">
        <f t="shared" si="1"/>
        <v>0</v>
      </c>
      <c r="P3" s="4">
        <f t="shared" si="2"/>
        <v>0</v>
      </c>
      <c r="Q3" s="3"/>
      <c r="R3" s="3"/>
      <c r="S3" s="3"/>
      <c r="T3" s="3"/>
      <c r="U3" s="36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5">
      <c r="A4" s="3">
        <v>2</v>
      </c>
      <c r="B4" s="3">
        <v>2</v>
      </c>
      <c r="C4" s="9" t="str">
        <f t="shared" ref="C4:I19" si="3">D3</f>
        <v>X</v>
      </c>
      <c r="D4" s="7" t="str">
        <f t="shared" si="3"/>
        <v>X</v>
      </c>
      <c r="E4" s="5" t="str">
        <f t="shared" si="3"/>
        <v>X</v>
      </c>
      <c r="F4" s="4" t="str">
        <f t="shared" si="3"/>
        <v>X</v>
      </c>
      <c r="G4" s="9" t="str">
        <f t="shared" si="3"/>
        <v>X</v>
      </c>
      <c r="H4" s="7" t="str">
        <f t="shared" si="3"/>
        <v>X</v>
      </c>
      <c r="I4" s="5">
        <f>J3</f>
        <v>1</v>
      </c>
      <c r="J4" s="4">
        <v>2</v>
      </c>
      <c r="K4" s="9"/>
      <c r="L4" s="5"/>
      <c r="M4" s="4"/>
      <c r="N4" s="9">
        <f t="shared" si="0"/>
        <v>0</v>
      </c>
      <c r="O4" s="5">
        <f t="shared" si="1"/>
        <v>0</v>
      </c>
      <c r="P4" s="4">
        <f t="shared" si="2"/>
        <v>0</v>
      </c>
      <c r="Q4" s="3"/>
      <c r="R4" s="3"/>
      <c r="S4" s="3"/>
      <c r="T4" s="3"/>
      <c r="U4" s="36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25">
      <c r="A5" s="3">
        <v>3</v>
      </c>
      <c r="B5" s="3">
        <v>3</v>
      </c>
      <c r="C5" s="9" t="str">
        <f t="shared" si="3"/>
        <v>X</v>
      </c>
      <c r="D5" s="7" t="str">
        <f t="shared" si="3"/>
        <v>X</v>
      </c>
      <c r="E5" s="5" t="str">
        <f t="shared" si="3"/>
        <v>X</v>
      </c>
      <c r="F5" s="4" t="str">
        <f t="shared" si="3"/>
        <v>X</v>
      </c>
      <c r="G5" s="9" t="str">
        <f t="shared" si="3"/>
        <v>X</v>
      </c>
      <c r="H5" s="7">
        <f t="shared" si="3"/>
        <v>1</v>
      </c>
      <c r="I5" s="5">
        <f t="shared" si="3"/>
        <v>2</v>
      </c>
      <c r="J5" s="4">
        <v>3</v>
      </c>
      <c r="K5" s="9"/>
      <c r="L5" s="5"/>
      <c r="M5" s="4"/>
      <c r="N5" s="9">
        <f t="shared" si="0"/>
        <v>0</v>
      </c>
      <c r="O5" s="5">
        <f t="shared" si="1"/>
        <v>0</v>
      </c>
      <c r="P5" s="4">
        <f t="shared" si="2"/>
        <v>0</v>
      </c>
      <c r="Q5" s="3"/>
      <c r="R5" s="3"/>
      <c r="S5" s="3"/>
      <c r="T5" s="3"/>
      <c r="U5" s="36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25">
      <c r="A6" s="3">
        <v>4</v>
      </c>
      <c r="B6" s="3">
        <v>4</v>
      </c>
      <c r="C6" s="9" t="str">
        <f t="shared" si="3"/>
        <v>X</v>
      </c>
      <c r="D6" s="7" t="str">
        <f t="shared" si="3"/>
        <v>X</v>
      </c>
      <c r="E6" s="5" t="str">
        <f t="shared" si="3"/>
        <v>X</v>
      </c>
      <c r="F6" s="4" t="str">
        <f t="shared" si="3"/>
        <v>X</v>
      </c>
      <c r="G6" s="9">
        <f t="shared" si="3"/>
        <v>1</v>
      </c>
      <c r="H6" s="7">
        <f t="shared" si="3"/>
        <v>2</v>
      </c>
      <c r="I6" s="5">
        <f t="shared" si="3"/>
        <v>3</v>
      </c>
      <c r="J6" s="4">
        <v>4</v>
      </c>
      <c r="K6" s="9"/>
      <c r="L6" s="5"/>
      <c r="M6" s="4"/>
      <c r="N6" s="9">
        <f t="shared" si="0"/>
        <v>0</v>
      </c>
      <c r="O6" s="5">
        <f t="shared" si="1"/>
        <v>0</v>
      </c>
      <c r="P6" s="4">
        <f t="shared" si="2"/>
        <v>0</v>
      </c>
      <c r="Q6" s="3" t="s">
        <v>39</v>
      </c>
      <c r="R6" s="3"/>
      <c r="S6" s="3"/>
      <c r="T6" s="3"/>
      <c r="U6" s="36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25">
      <c r="A7" s="3">
        <v>5</v>
      </c>
      <c r="B7" s="3">
        <v>5</v>
      </c>
      <c r="C7" s="9" t="str">
        <f t="shared" si="3"/>
        <v>X</v>
      </c>
      <c r="D7" s="7" t="str">
        <f t="shared" si="3"/>
        <v>X</v>
      </c>
      <c r="E7" s="5" t="str">
        <f t="shared" si="3"/>
        <v>X</v>
      </c>
      <c r="F7" s="4">
        <f t="shared" si="3"/>
        <v>1</v>
      </c>
      <c r="G7" s="9">
        <f t="shared" si="3"/>
        <v>2</v>
      </c>
      <c r="H7" s="7">
        <f t="shared" si="3"/>
        <v>3</v>
      </c>
      <c r="I7" s="5">
        <f t="shared" si="3"/>
        <v>4</v>
      </c>
      <c r="J7" s="4">
        <v>5</v>
      </c>
      <c r="K7" s="9"/>
      <c r="L7" s="5"/>
      <c r="M7" s="4"/>
      <c r="N7" s="9">
        <f t="shared" si="0"/>
        <v>0</v>
      </c>
      <c r="O7" s="5">
        <f t="shared" si="1"/>
        <v>0</v>
      </c>
      <c r="P7" s="4">
        <f t="shared" si="2"/>
        <v>0</v>
      </c>
      <c r="Q7" s="3" t="s">
        <v>42</v>
      </c>
      <c r="R7" s="3" t="s">
        <v>40</v>
      </c>
      <c r="S7" s="3"/>
      <c r="T7" s="3"/>
      <c r="U7" s="36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25">
      <c r="A8" s="3">
        <v>6</v>
      </c>
      <c r="B8" s="3">
        <v>6</v>
      </c>
      <c r="C8" s="9" t="str">
        <f t="shared" si="3"/>
        <v>X</v>
      </c>
      <c r="D8" s="7" t="str">
        <f t="shared" si="3"/>
        <v>X</v>
      </c>
      <c r="E8" s="5">
        <f t="shared" si="3"/>
        <v>1</v>
      </c>
      <c r="F8" s="4">
        <f t="shared" si="3"/>
        <v>2</v>
      </c>
      <c r="G8" s="9">
        <f t="shared" si="3"/>
        <v>3</v>
      </c>
      <c r="H8" s="7">
        <f t="shared" si="3"/>
        <v>4</v>
      </c>
      <c r="I8" s="5">
        <f t="shared" si="3"/>
        <v>5</v>
      </c>
      <c r="J8" s="4">
        <v>6</v>
      </c>
      <c r="K8" s="9"/>
      <c r="L8" s="5"/>
      <c r="M8" s="4"/>
      <c r="N8" s="9">
        <f t="shared" si="0"/>
        <v>0</v>
      </c>
      <c r="O8" s="5">
        <f t="shared" si="1"/>
        <v>0</v>
      </c>
      <c r="P8" s="4">
        <f t="shared" si="2"/>
        <v>0</v>
      </c>
      <c r="Q8" s="3"/>
      <c r="R8" s="3" t="s">
        <v>41</v>
      </c>
      <c r="S8" s="3"/>
      <c r="T8" s="3"/>
      <c r="U8" s="36"/>
      <c r="V8" s="3"/>
      <c r="W8" s="3"/>
      <c r="X8" s="3"/>
      <c r="Y8" s="3"/>
      <c r="Z8" s="3"/>
      <c r="AA8" s="3"/>
      <c r="AB8" s="3"/>
      <c r="AC8" s="3"/>
      <c r="AD8" s="3"/>
    </row>
    <row r="9" spans="1:30" ht="16.5" thickBot="1" x14ac:dyDescent="0.3">
      <c r="A9" s="3">
        <v>7</v>
      </c>
      <c r="B9" s="3">
        <v>7</v>
      </c>
      <c r="C9" s="9" t="str">
        <f t="shared" si="3"/>
        <v>X</v>
      </c>
      <c r="D9" s="7">
        <f t="shared" si="3"/>
        <v>1</v>
      </c>
      <c r="E9" s="5">
        <f t="shared" si="3"/>
        <v>2</v>
      </c>
      <c r="F9" s="4">
        <f t="shared" si="3"/>
        <v>3</v>
      </c>
      <c r="G9" s="9">
        <f t="shared" si="3"/>
        <v>4</v>
      </c>
      <c r="H9" s="7">
        <f t="shared" si="3"/>
        <v>5</v>
      </c>
      <c r="I9" s="5">
        <f t="shared" si="3"/>
        <v>6</v>
      </c>
      <c r="J9" s="4">
        <v>7</v>
      </c>
      <c r="K9" s="9"/>
      <c r="L9" s="5"/>
      <c r="M9" s="4"/>
      <c r="N9" s="9">
        <f t="shared" si="0"/>
        <v>0</v>
      </c>
      <c r="O9" s="5">
        <f t="shared" si="1"/>
        <v>0</v>
      </c>
      <c r="P9" s="4">
        <f t="shared" si="2"/>
        <v>0</v>
      </c>
      <c r="Q9" s="3"/>
      <c r="R9" s="3"/>
      <c r="S9" s="3"/>
      <c r="T9" s="3"/>
      <c r="U9" s="36"/>
      <c r="V9" s="3"/>
      <c r="W9" s="3"/>
      <c r="X9" s="3"/>
      <c r="Y9" s="3"/>
      <c r="Z9" s="3"/>
      <c r="AA9" s="3"/>
      <c r="AB9" s="3"/>
      <c r="AC9" s="3"/>
      <c r="AD9" s="3"/>
    </row>
    <row r="10" spans="1:30" ht="16.5" thickBot="1" x14ac:dyDescent="0.3">
      <c r="A10" s="3">
        <v>8</v>
      </c>
      <c r="B10" s="11">
        <v>8</v>
      </c>
      <c r="C10" s="12">
        <f t="shared" si="3"/>
        <v>1</v>
      </c>
      <c r="D10" s="13">
        <f t="shared" si="3"/>
        <v>2</v>
      </c>
      <c r="E10" s="14">
        <f t="shared" si="3"/>
        <v>3</v>
      </c>
      <c r="F10" s="15">
        <f t="shared" si="3"/>
        <v>4</v>
      </c>
      <c r="G10" s="12">
        <f t="shared" si="3"/>
        <v>5</v>
      </c>
      <c r="H10" s="13">
        <f t="shared" si="3"/>
        <v>6</v>
      </c>
      <c r="I10" s="14">
        <f t="shared" si="3"/>
        <v>7</v>
      </c>
      <c r="J10" s="16">
        <v>8</v>
      </c>
      <c r="K10" s="9" t="str">
        <f>C10 &amp; "," &amp; D10 &amp; CHAR(10) &amp; G10 &amp; "," &amp; H10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9" t="str">
        <f t="shared" si="0"/>
        <v>1,2
5,6</v>
      </c>
      <c r="O10" s="5" t="str">
        <f t="shared" si="1"/>
        <v>1,3
5,7</v>
      </c>
      <c r="P10" s="4" t="str">
        <f t="shared" si="2"/>
        <v>1,4
5,8</v>
      </c>
      <c r="Q10" s="3"/>
      <c r="R10" s="3"/>
      <c r="S10" s="3"/>
      <c r="T10" s="3"/>
      <c r="U10" s="36"/>
      <c r="V10" s="3"/>
      <c r="W10" s="3"/>
      <c r="X10" s="3"/>
      <c r="Y10" s="3"/>
      <c r="Z10" s="3"/>
      <c r="AA10" s="3"/>
      <c r="AB10" s="3"/>
      <c r="AC10" s="3"/>
      <c r="AD10" s="27" t="s">
        <v>32</v>
      </c>
    </row>
    <row r="11" spans="1:30" x14ac:dyDescent="0.25">
      <c r="A11" s="3">
        <v>9</v>
      </c>
      <c r="B11" s="3">
        <v>9</v>
      </c>
      <c r="C11" s="9">
        <f t="shared" si="3"/>
        <v>2</v>
      </c>
      <c r="D11" s="7">
        <f t="shared" si="3"/>
        <v>3</v>
      </c>
      <c r="E11" s="5">
        <f t="shared" si="3"/>
        <v>4</v>
      </c>
      <c r="F11" s="4">
        <f t="shared" si="3"/>
        <v>5</v>
      </c>
      <c r="G11" s="9">
        <f t="shared" si="3"/>
        <v>6</v>
      </c>
      <c r="H11" s="7">
        <f t="shared" si="3"/>
        <v>7</v>
      </c>
      <c r="I11" s="5">
        <f t="shared" si="3"/>
        <v>8</v>
      </c>
      <c r="J11" s="4">
        <v>9</v>
      </c>
      <c r="K11" s="9" t="str">
        <f t="shared" ref="K11:K20" si="4">C11 &amp; "," &amp; D11 &amp; CHAR(10) &amp; G11 &amp; "," &amp; H11</f>
        <v>2,3
6,7</v>
      </c>
      <c r="L11" s="5" t="str">
        <f t="shared" ref="L11:L15" si="5">C11 &amp; "," &amp; E11 &amp; CHAR(10) &amp; G11 &amp; "," &amp; I11</f>
        <v>2,4
6,8</v>
      </c>
      <c r="M11" s="4"/>
      <c r="N11" s="9" t="str">
        <f t="shared" si="0"/>
        <v>2,3
6,7</v>
      </c>
      <c r="O11" s="5" t="str">
        <f t="shared" si="1"/>
        <v>2,4
6,8</v>
      </c>
      <c r="P11" s="4">
        <f t="shared" si="2"/>
        <v>0</v>
      </c>
      <c r="Q11" s="3"/>
      <c r="R11" s="3"/>
      <c r="S11" s="3"/>
      <c r="T11" s="3"/>
      <c r="U11" s="36"/>
      <c r="V11" s="3"/>
      <c r="W11" s="3"/>
      <c r="X11" s="3"/>
      <c r="Y11" s="3" t="str">
        <f>N10</f>
        <v>1,2
5,6</v>
      </c>
      <c r="Z11" s="3"/>
      <c r="AA11" s="3"/>
      <c r="AB11" s="3"/>
      <c r="AC11" s="3" t="str">
        <f>O10</f>
        <v>1,3
5,7</v>
      </c>
      <c r="AD11" s="27" t="s">
        <v>31</v>
      </c>
    </row>
    <row r="12" spans="1:30" x14ac:dyDescent="0.25">
      <c r="A12" s="3">
        <v>10</v>
      </c>
      <c r="B12" s="3">
        <v>10</v>
      </c>
      <c r="C12" s="9">
        <f t="shared" si="3"/>
        <v>3</v>
      </c>
      <c r="D12" s="7">
        <f t="shared" si="3"/>
        <v>4</v>
      </c>
      <c r="E12" s="5">
        <f t="shared" si="3"/>
        <v>5</v>
      </c>
      <c r="F12" s="4">
        <f t="shared" si="3"/>
        <v>6</v>
      </c>
      <c r="G12" s="9">
        <f t="shared" si="3"/>
        <v>7</v>
      </c>
      <c r="H12" s="7">
        <f t="shared" si="3"/>
        <v>8</v>
      </c>
      <c r="I12" s="5">
        <f t="shared" si="3"/>
        <v>9</v>
      </c>
      <c r="J12" s="4">
        <v>10</v>
      </c>
      <c r="K12" s="9" t="str">
        <f t="shared" si="4"/>
        <v>3,4
7,8</v>
      </c>
      <c r="L12" s="5"/>
      <c r="M12" s="4"/>
      <c r="N12" s="9" t="str">
        <f t="shared" si="0"/>
        <v>3,4
7,8</v>
      </c>
      <c r="O12" s="5">
        <f t="shared" si="1"/>
        <v>0</v>
      </c>
      <c r="P12" s="4">
        <f t="shared" si="2"/>
        <v>0</v>
      </c>
      <c r="Q12" s="3" t="s">
        <v>39</v>
      </c>
      <c r="R12" s="3"/>
      <c r="S12" s="3"/>
      <c r="T12" s="3">
        <f t="shared" ref="T12:X13" si="6">U11</f>
        <v>0</v>
      </c>
      <c r="U12" s="36">
        <f t="shared" si="6"/>
        <v>0</v>
      </c>
      <c r="V12" s="3">
        <f t="shared" si="6"/>
        <v>0</v>
      </c>
      <c r="W12" s="3">
        <f t="shared" si="6"/>
        <v>0</v>
      </c>
      <c r="X12" s="3" t="str">
        <f t="shared" si="6"/>
        <v>1,2
5,6</v>
      </c>
      <c r="Y12" s="3" t="str">
        <f>N11</f>
        <v>2,3
6,7</v>
      </c>
      <c r="Z12" s="3">
        <f t="shared" ref="Z12:AB16" si="7">AA11</f>
        <v>0</v>
      </c>
      <c r="AA12" s="3">
        <f t="shared" si="7"/>
        <v>0</v>
      </c>
      <c r="AB12" s="3" t="str">
        <f>AC11</f>
        <v>1,3
5,7</v>
      </c>
      <c r="AC12" s="3" t="str">
        <f>O11</f>
        <v>2,4
6,8</v>
      </c>
      <c r="AD12" s="27" t="s">
        <v>30</v>
      </c>
    </row>
    <row r="13" spans="1:30" x14ac:dyDescent="0.25">
      <c r="A13" s="3">
        <v>11</v>
      </c>
      <c r="B13" s="3">
        <v>11</v>
      </c>
      <c r="C13" s="9">
        <f t="shared" si="3"/>
        <v>4</v>
      </c>
      <c r="D13" s="7">
        <f t="shared" si="3"/>
        <v>5</v>
      </c>
      <c r="E13" s="5">
        <f t="shared" si="3"/>
        <v>6</v>
      </c>
      <c r="F13" s="4">
        <f t="shared" si="3"/>
        <v>7</v>
      </c>
      <c r="G13" s="9">
        <f t="shared" si="3"/>
        <v>8</v>
      </c>
      <c r="H13" s="7">
        <f t="shared" si="3"/>
        <v>9</v>
      </c>
      <c r="I13" s="5">
        <f t="shared" si="3"/>
        <v>10</v>
      </c>
      <c r="J13" s="4">
        <v>11</v>
      </c>
      <c r="K13" s="9" t="s">
        <v>0</v>
      </c>
      <c r="L13" s="5"/>
      <c r="M13" s="4"/>
      <c r="N13" s="9" t="s">
        <v>0</v>
      </c>
      <c r="O13" s="5">
        <f t="shared" ref="O13:P20" si="8">L13</f>
        <v>0</v>
      </c>
      <c r="P13" s="4">
        <f t="shared" si="8"/>
        <v>0</v>
      </c>
      <c r="Q13" s="3" t="s">
        <v>97</v>
      </c>
      <c r="R13" s="3" t="str">
        <f>Q12</f>
        <v>B1temp = 9(2367)-10(1357)</v>
      </c>
      <c r="S13" s="3"/>
      <c r="T13" s="3">
        <f t="shared" si="6"/>
        <v>0</v>
      </c>
      <c r="U13" s="36">
        <f t="shared" si="6"/>
        <v>0</v>
      </c>
      <c r="V13" s="3">
        <f t="shared" si="6"/>
        <v>0</v>
      </c>
      <c r="W13" s="3" t="str">
        <f t="shared" si="6"/>
        <v>1,2
5,6</v>
      </c>
      <c r="X13" s="3" t="str">
        <f t="shared" si="6"/>
        <v>2,3
6,7</v>
      </c>
      <c r="Y13" s="3" t="str">
        <f>N12</f>
        <v>3,4
7,8</v>
      </c>
      <c r="Z13" s="3">
        <f t="shared" si="7"/>
        <v>0</v>
      </c>
      <c r="AA13" s="3">
        <f t="shared" ref="AA13:AC14" si="9">AA12</f>
        <v>0</v>
      </c>
      <c r="AB13" s="3" t="str">
        <f t="shared" si="9"/>
        <v>1,3
5,7</v>
      </c>
      <c r="AC13" s="3" t="str">
        <f t="shared" si="9"/>
        <v>2,4
6,8</v>
      </c>
      <c r="AD13" s="3" t="s">
        <v>29</v>
      </c>
    </row>
    <row r="14" spans="1:30" x14ac:dyDescent="0.25">
      <c r="A14" s="3">
        <v>12</v>
      </c>
      <c r="B14" s="3">
        <v>12</v>
      </c>
      <c r="C14" s="9">
        <f t="shared" si="3"/>
        <v>5</v>
      </c>
      <c r="D14" s="7">
        <f t="shared" si="3"/>
        <v>6</v>
      </c>
      <c r="E14" s="5">
        <f t="shared" si="3"/>
        <v>7</v>
      </c>
      <c r="F14" s="4">
        <f t="shared" si="3"/>
        <v>8</v>
      </c>
      <c r="G14" s="9">
        <f t="shared" si="3"/>
        <v>9</v>
      </c>
      <c r="H14" s="7">
        <f t="shared" si="3"/>
        <v>10</v>
      </c>
      <c r="I14" s="5">
        <f t="shared" si="3"/>
        <v>11</v>
      </c>
      <c r="J14" s="4">
        <v>12</v>
      </c>
      <c r="K14" s="9" t="str">
        <f t="shared" si="4"/>
        <v>5,6
9,10</v>
      </c>
      <c r="L14" s="5" t="str">
        <f t="shared" si="5"/>
        <v>5,7
9,11</v>
      </c>
      <c r="M14" s="4"/>
      <c r="N14" s="9" t="str">
        <f>K14</f>
        <v>5,6
9,10</v>
      </c>
      <c r="O14" s="5" t="str">
        <f t="shared" si="8"/>
        <v>5,7
9,11</v>
      </c>
      <c r="P14" s="4">
        <f t="shared" si="8"/>
        <v>0</v>
      </c>
      <c r="Q14" s="3" t="s">
        <v>42</v>
      </c>
      <c r="R14" s="3" t="str">
        <f t="shared" ref="R14:R20" si="10">Q13</f>
        <v>B1_temp+11(1256)</v>
      </c>
      <c r="S14" s="3"/>
      <c r="T14" s="3">
        <f t="shared" ref="T14:Y14" si="11">T13</f>
        <v>0</v>
      </c>
      <c r="U14" s="36">
        <f t="shared" si="11"/>
        <v>0</v>
      </c>
      <c r="V14" s="3">
        <f t="shared" si="11"/>
        <v>0</v>
      </c>
      <c r="W14" s="3" t="str">
        <f t="shared" si="11"/>
        <v>1,2
5,6</v>
      </c>
      <c r="X14" s="3" t="str">
        <f t="shared" si="11"/>
        <v>2,3
6,7</v>
      </c>
      <c r="Y14" s="3" t="str">
        <f t="shared" si="11"/>
        <v>3,4
7,8</v>
      </c>
      <c r="Z14" s="3">
        <f t="shared" si="7"/>
        <v>0</v>
      </c>
      <c r="AA14" s="3">
        <f t="shared" si="9"/>
        <v>0</v>
      </c>
      <c r="AB14" s="3" t="str">
        <f t="shared" si="9"/>
        <v>1,3
5,7</v>
      </c>
      <c r="AC14" s="3" t="str">
        <f t="shared" si="9"/>
        <v>2,4
6,8</v>
      </c>
      <c r="AD14" s="27" t="s">
        <v>28</v>
      </c>
    </row>
    <row r="15" spans="1:30" x14ac:dyDescent="0.25">
      <c r="A15" s="3">
        <v>13</v>
      </c>
      <c r="B15" s="3">
        <v>13</v>
      </c>
      <c r="C15" s="9">
        <f t="shared" si="3"/>
        <v>6</v>
      </c>
      <c r="D15" s="7">
        <f t="shared" si="3"/>
        <v>7</v>
      </c>
      <c r="E15" s="5">
        <f t="shared" si="3"/>
        <v>8</v>
      </c>
      <c r="F15" s="4">
        <f t="shared" si="3"/>
        <v>9</v>
      </c>
      <c r="G15" s="9">
        <f t="shared" si="3"/>
        <v>10</v>
      </c>
      <c r="H15" s="7">
        <f t="shared" si="3"/>
        <v>11</v>
      </c>
      <c r="I15" s="5">
        <f t="shared" si="3"/>
        <v>12</v>
      </c>
      <c r="J15" s="4">
        <v>13</v>
      </c>
      <c r="K15" s="9" t="str">
        <f t="shared" si="4"/>
        <v>6,7
10,11</v>
      </c>
      <c r="L15" s="5" t="str">
        <f t="shared" si="5"/>
        <v>6,8
10,12</v>
      </c>
      <c r="M15" s="4"/>
      <c r="N15" s="9" t="str">
        <f>K15</f>
        <v>6,7
10,11</v>
      </c>
      <c r="O15" s="5" t="str">
        <f t="shared" si="8"/>
        <v>6,8
10,12</v>
      </c>
      <c r="P15" s="4">
        <f t="shared" si="8"/>
        <v>0</v>
      </c>
      <c r="Q15" s="3" t="s">
        <v>98</v>
      </c>
      <c r="R15" s="3" t="str">
        <f t="shared" si="10"/>
        <v>B2_temp = 10(3478)-11(2468)</v>
      </c>
      <c r="S15" s="3"/>
      <c r="T15" s="3">
        <f t="shared" ref="T15:X17" si="12">U14</f>
        <v>0</v>
      </c>
      <c r="U15" s="36">
        <f t="shared" si="12"/>
        <v>0</v>
      </c>
      <c r="V15" s="3" t="str">
        <f t="shared" si="12"/>
        <v>1,2
5,6</v>
      </c>
      <c r="W15" s="3" t="str">
        <f t="shared" si="12"/>
        <v>2,3
6,7</v>
      </c>
      <c r="X15" s="3" t="str">
        <f t="shared" si="12"/>
        <v>3,4
7,8</v>
      </c>
      <c r="Y15" s="3" t="str">
        <f>N14</f>
        <v>5,6
9,10</v>
      </c>
      <c r="Z15" s="3">
        <f t="shared" si="7"/>
        <v>0</v>
      </c>
      <c r="AA15" s="3" t="str">
        <f t="shared" si="7"/>
        <v>1,3
5,7</v>
      </c>
      <c r="AB15" s="3" t="str">
        <f t="shared" si="7"/>
        <v>2,4
6,8</v>
      </c>
      <c r="AC15" s="3" t="str">
        <f>O14</f>
        <v>5,7
9,11</v>
      </c>
      <c r="AD15" s="27" t="s">
        <v>27</v>
      </c>
    </row>
    <row r="16" spans="1:30" x14ac:dyDescent="0.25">
      <c r="A16" s="3">
        <v>14</v>
      </c>
      <c r="B16" s="3">
        <v>14</v>
      </c>
      <c r="C16" s="9">
        <f t="shared" si="3"/>
        <v>7</v>
      </c>
      <c r="D16" s="7">
        <f t="shared" si="3"/>
        <v>8</v>
      </c>
      <c r="E16" s="5">
        <f t="shared" si="3"/>
        <v>9</v>
      </c>
      <c r="F16" s="4">
        <f t="shared" si="3"/>
        <v>10</v>
      </c>
      <c r="G16" s="9">
        <f t="shared" si="3"/>
        <v>11</v>
      </c>
      <c r="H16" s="7">
        <f t="shared" si="3"/>
        <v>12</v>
      </c>
      <c r="I16" s="5">
        <f t="shared" si="3"/>
        <v>13</v>
      </c>
      <c r="J16" s="4">
        <v>14</v>
      </c>
      <c r="K16" s="9" t="str">
        <f t="shared" si="4"/>
        <v>7,8
11,12</v>
      </c>
      <c r="L16" s="5"/>
      <c r="M16" s="4"/>
      <c r="N16" s="9" t="str">
        <f>K16</f>
        <v>7,8
11,12</v>
      </c>
      <c r="O16" s="5">
        <f t="shared" si="8"/>
        <v>0</v>
      </c>
      <c r="P16" s="4">
        <f t="shared" si="8"/>
        <v>0</v>
      </c>
      <c r="Q16" s="3" t="s">
        <v>43</v>
      </c>
      <c r="R16" s="3" t="str">
        <f t="shared" si="10"/>
        <v>B2_temp+12(2367)</v>
      </c>
      <c r="S16" s="3"/>
      <c r="T16" s="3">
        <f t="shared" si="12"/>
        <v>0</v>
      </c>
      <c r="U16" s="36" t="str">
        <f t="shared" si="12"/>
        <v>1,2
5,6</v>
      </c>
      <c r="V16" s="3" t="str">
        <f t="shared" si="12"/>
        <v>2,3
6,7</v>
      </c>
      <c r="W16" s="3" t="str">
        <f t="shared" si="12"/>
        <v>3,4
7,8</v>
      </c>
      <c r="X16" s="3" t="str">
        <f t="shared" si="12"/>
        <v>5,6
9,10</v>
      </c>
      <c r="Y16" s="3" t="str">
        <f>N15</f>
        <v>6,7
10,11</v>
      </c>
      <c r="Z16" s="28" t="str">
        <f t="shared" si="7"/>
        <v>1,3
5,7</v>
      </c>
      <c r="AA16" s="28" t="str">
        <f t="shared" si="7"/>
        <v>2,4
6,8</v>
      </c>
      <c r="AB16" s="28" t="str">
        <f t="shared" si="7"/>
        <v>5,7
9,11</v>
      </c>
      <c r="AC16" s="28" t="str">
        <f>O15</f>
        <v>6,8
10,12</v>
      </c>
      <c r="AD16" s="27" t="s">
        <v>26</v>
      </c>
    </row>
    <row r="17" spans="1:30" x14ac:dyDescent="0.25">
      <c r="A17" s="3">
        <v>15</v>
      </c>
      <c r="B17" s="3">
        <v>15</v>
      </c>
      <c r="C17" s="9">
        <f t="shared" si="3"/>
        <v>8</v>
      </c>
      <c r="D17" s="7">
        <f t="shared" si="3"/>
        <v>9</v>
      </c>
      <c r="E17" s="5">
        <f t="shared" si="3"/>
        <v>10</v>
      </c>
      <c r="F17" s="4">
        <f t="shared" si="3"/>
        <v>11</v>
      </c>
      <c r="G17" s="9">
        <f t="shared" si="3"/>
        <v>12</v>
      </c>
      <c r="H17" s="7">
        <f t="shared" si="3"/>
        <v>13</v>
      </c>
      <c r="I17" s="5">
        <f t="shared" si="3"/>
        <v>14</v>
      </c>
      <c r="J17" s="4">
        <v>15</v>
      </c>
      <c r="K17" s="9" t="s">
        <v>0</v>
      </c>
      <c r="L17" s="5"/>
      <c r="M17" s="4"/>
      <c r="N17" s="9" t="s">
        <v>0</v>
      </c>
      <c r="O17" s="5">
        <f t="shared" si="8"/>
        <v>0</v>
      </c>
      <c r="P17" s="4">
        <f t="shared" si="8"/>
        <v>0</v>
      </c>
      <c r="Q17" s="3" t="s">
        <v>99</v>
      </c>
      <c r="R17" s="3" t="str">
        <f t="shared" si="10"/>
        <v>B3_temp = 13*(671011)-14(57911)</v>
      </c>
      <c r="S17" s="3"/>
      <c r="T17" s="9" t="str">
        <f t="shared" si="12"/>
        <v>1,2
5,6</v>
      </c>
      <c r="U17" s="37" t="str">
        <f t="shared" si="12"/>
        <v>2,3
6,7</v>
      </c>
      <c r="V17" s="9" t="str">
        <f t="shared" si="12"/>
        <v>3,4
7,8</v>
      </c>
      <c r="W17" s="9" t="str">
        <f t="shared" si="12"/>
        <v>5,6
9,10</v>
      </c>
      <c r="X17" s="9" t="str">
        <f t="shared" si="12"/>
        <v>6,7
10,11</v>
      </c>
      <c r="Y17" s="9" t="str">
        <f>N16</f>
        <v>7,8
11,12</v>
      </c>
      <c r="Z17" s="3"/>
      <c r="AA17" s="3"/>
      <c r="AB17" s="3"/>
      <c r="AC17" s="3"/>
      <c r="AD17" s="3" t="s">
        <v>25</v>
      </c>
    </row>
    <row r="18" spans="1:30" x14ac:dyDescent="0.25">
      <c r="A18" s="3">
        <v>16</v>
      </c>
      <c r="B18" s="3">
        <v>16</v>
      </c>
      <c r="C18" s="9">
        <f t="shared" si="3"/>
        <v>9</v>
      </c>
      <c r="D18" s="7">
        <f t="shared" si="3"/>
        <v>10</v>
      </c>
      <c r="E18" s="5">
        <f t="shared" si="3"/>
        <v>11</v>
      </c>
      <c r="F18" s="4">
        <f t="shared" si="3"/>
        <v>12</v>
      </c>
      <c r="G18" s="9">
        <f t="shared" si="3"/>
        <v>13</v>
      </c>
      <c r="H18" s="7">
        <f t="shared" si="3"/>
        <v>14</v>
      </c>
      <c r="I18" s="5">
        <f t="shared" si="3"/>
        <v>15</v>
      </c>
      <c r="J18" s="4">
        <v>16</v>
      </c>
      <c r="K18" s="9" t="str">
        <f t="shared" si="4"/>
        <v>9,10
13,14</v>
      </c>
      <c r="L18" s="5"/>
      <c r="M18" s="4"/>
      <c r="N18" s="9" t="s">
        <v>0</v>
      </c>
      <c r="O18" s="5">
        <f t="shared" si="8"/>
        <v>0</v>
      </c>
      <c r="P18" s="4">
        <f t="shared" si="8"/>
        <v>0</v>
      </c>
      <c r="Q18" s="3" t="s">
        <v>100</v>
      </c>
      <c r="R18" s="3" t="str">
        <f t="shared" si="10"/>
        <v>B3_temp+15(56910)</v>
      </c>
      <c r="S18" s="3"/>
      <c r="T18" s="3"/>
      <c r="U18" s="36"/>
      <c r="V18" s="3"/>
      <c r="W18" s="3"/>
      <c r="X18" s="3"/>
      <c r="Y18" s="3"/>
      <c r="Z18" s="3"/>
      <c r="AA18" s="3"/>
      <c r="AB18" s="3"/>
      <c r="AC18" s="3"/>
      <c r="AD18" s="27" t="s">
        <v>24</v>
      </c>
    </row>
    <row r="19" spans="1:30" x14ac:dyDescent="0.25">
      <c r="A19" s="3">
        <v>17</v>
      </c>
      <c r="B19" s="3" t="s">
        <v>10</v>
      </c>
      <c r="C19" s="9">
        <f t="shared" si="3"/>
        <v>10</v>
      </c>
      <c r="D19" s="7">
        <f t="shared" si="3"/>
        <v>11</v>
      </c>
      <c r="E19" s="5">
        <f t="shared" si="3"/>
        <v>12</v>
      </c>
      <c r="F19" s="4">
        <f t="shared" si="3"/>
        <v>13</v>
      </c>
      <c r="G19" s="9">
        <f t="shared" si="3"/>
        <v>14</v>
      </c>
      <c r="H19" s="7">
        <f t="shared" si="3"/>
        <v>15</v>
      </c>
      <c r="I19" s="5">
        <f t="shared" si="3"/>
        <v>16</v>
      </c>
      <c r="J19" s="4">
        <v>0</v>
      </c>
      <c r="K19" s="9" t="str">
        <f t="shared" si="4"/>
        <v>10,11
14,15</v>
      </c>
      <c r="L19" s="5"/>
      <c r="M19" s="4"/>
      <c r="N19" s="9" t="s">
        <v>0</v>
      </c>
      <c r="O19" s="5">
        <f t="shared" si="8"/>
        <v>0</v>
      </c>
      <c r="P19" s="4">
        <f t="shared" si="8"/>
        <v>0</v>
      </c>
      <c r="Q19" s="3" t="s">
        <v>101</v>
      </c>
      <c r="R19" s="3" t="str">
        <f t="shared" si="10"/>
        <v>B4_temp = 14*(781112) -15(681012)</v>
      </c>
      <c r="S19" s="3"/>
      <c r="T19" s="3"/>
      <c r="U19" s="36"/>
      <c r="V19" s="3"/>
      <c r="W19" s="3"/>
      <c r="X19" s="3"/>
      <c r="Y19" s="3"/>
      <c r="Z19" s="3"/>
      <c r="AA19" s="3"/>
      <c r="AB19" s="3"/>
      <c r="AC19" s="3"/>
      <c r="AD19" s="27"/>
    </row>
    <row r="20" spans="1:30" x14ac:dyDescent="0.25">
      <c r="A20" s="3">
        <v>18</v>
      </c>
      <c r="B20" s="3" t="s">
        <v>10</v>
      </c>
      <c r="C20" s="9">
        <f t="shared" ref="C20:I20" si="13">D19</f>
        <v>11</v>
      </c>
      <c r="D20" s="7">
        <f t="shared" si="13"/>
        <v>12</v>
      </c>
      <c r="E20" s="5">
        <f t="shared" si="13"/>
        <v>13</v>
      </c>
      <c r="F20" s="4">
        <f t="shared" si="13"/>
        <v>14</v>
      </c>
      <c r="G20" s="9">
        <f t="shared" si="13"/>
        <v>15</v>
      </c>
      <c r="H20" s="7">
        <f t="shared" si="13"/>
        <v>16</v>
      </c>
      <c r="I20" s="5">
        <f t="shared" si="13"/>
        <v>0</v>
      </c>
      <c r="J20" s="4">
        <v>0</v>
      </c>
      <c r="K20" s="9" t="str">
        <f t="shared" si="4"/>
        <v>11,12
15,16</v>
      </c>
      <c r="L20" s="5"/>
      <c r="M20" s="4"/>
      <c r="N20" s="9" t="s">
        <v>0</v>
      </c>
      <c r="O20" s="5">
        <f t="shared" si="8"/>
        <v>0</v>
      </c>
      <c r="P20" s="4">
        <f t="shared" si="8"/>
        <v>0</v>
      </c>
      <c r="Q20" s="3"/>
      <c r="R20" s="3" t="str">
        <f t="shared" si="10"/>
        <v>B4_temp+16(671011)</v>
      </c>
      <c r="S20" s="3"/>
      <c r="T20" s="3"/>
      <c r="U20" s="36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25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6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6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25">
      <c r="A27" s="3" t="s">
        <v>1</v>
      </c>
      <c r="B27" s="3" t="s">
        <v>2</v>
      </c>
      <c r="C27" s="9" t="s">
        <v>3</v>
      </c>
      <c r="D27" s="7" t="s">
        <v>11</v>
      </c>
      <c r="E27" s="5" t="s">
        <v>4</v>
      </c>
      <c r="F27" s="4" t="s">
        <v>5</v>
      </c>
      <c r="G27" s="9" t="s">
        <v>6</v>
      </c>
      <c r="H27" s="7" t="s">
        <v>7</v>
      </c>
      <c r="I27" s="5" t="s">
        <v>8</v>
      </c>
      <c r="J27" s="4" t="s">
        <v>9</v>
      </c>
      <c r="K27" s="9" t="s">
        <v>12</v>
      </c>
      <c r="L27" s="5"/>
      <c r="M27" s="4"/>
      <c r="N27" s="9" t="str">
        <f t="shared" ref="N27:N35" si="14">K27</f>
        <v>det22_c</v>
      </c>
      <c r="O27" s="5">
        <f t="shared" ref="O27:O35" si="15">L27</f>
        <v>0</v>
      </c>
      <c r="P27" s="4">
        <f t="shared" ref="P27:P35" si="16">M27</f>
        <v>0</v>
      </c>
      <c r="Q27" s="3" t="s">
        <v>36</v>
      </c>
      <c r="R27" s="3" t="s">
        <v>80</v>
      </c>
      <c r="S27" s="3" t="s">
        <v>22</v>
      </c>
      <c r="T27" s="3" t="s">
        <v>15</v>
      </c>
      <c r="U27" s="36" t="str">
        <f>LEFT(T27, LEN(T27)-2) &amp; "1]"</f>
        <v>det22_reg [1]</v>
      </c>
      <c r="V27" s="3" t="s">
        <v>16</v>
      </c>
      <c r="W27" s="3" t="s">
        <v>17</v>
      </c>
      <c r="X27" s="3" t="s">
        <v>14</v>
      </c>
      <c r="Y27" s="3" t="s">
        <v>18</v>
      </c>
      <c r="Z27" s="3" t="s">
        <v>19</v>
      </c>
      <c r="AA27" s="3" t="s">
        <v>20</v>
      </c>
      <c r="AB27" s="3" t="s">
        <v>33</v>
      </c>
      <c r="AC27" s="3" t="s">
        <v>34</v>
      </c>
      <c r="AD27" s="3" t="s">
        <v>23</v>
      </c>
    </row>
    <row r="28" spans="1:30" x14ac:dyDescent="0.25">
      <c r="A28" s="3">
        <v>0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14"/>
        <v>0</v>
      </c>
      <c r="O28" s="5">
        <f t="shared" si="15"/>
        <v>0</v>
      </c>
      <c r="P28" s="4">
        <f t="shared" si="16"/>
        <v>0</v>
      </c>
      <c r="Q28" s="3" t="s">
        <v>71</v>
      </c>
      <c r="R28" s="3"/>
      <c r="S28" s="3"/>
      <c r="T28" s="3"/>
      <c r="U28" s="36" t="s">
        <v>75</v>
      </c>
      <c r="V28" s="3" t="s">
        <v>74</v>
      </c>
      <c r="W28" s="3" t="s">
        <v>96</v>
      </c>
      <c r="X28" s="3" t="s">
        <v>78</v>
      </c>
      <c r="Y28" s="3" t="s">
        <v>76</v>
      </c>
      <c r="Z28" s="3" t="s">
        <v>73</v>
      </c>
      <c r="AA28" s="3" t="s">
        <v>72</v>
      </c>
      <c r="AB28" s="3" t="s">
        <v>79</v>
      </c>
      <c r="AC28" s="3" t="s">
        <v>77</v>
      </c>
      <c r="AD28" s="3"/>
    </row>
    <row r="29" spans="1:30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1</v>
      </c>
      <c r="K29" s="9"/>
      <c r="L29" s="5"/>
      <c r="M29" s="4"/>
      <c r="N29" s="9">
        <f t="shared" si="14"/>
        <v>0</v>
      </c>
      <c r="O29" s="5">
        <f t="shared" si="15"/>
        <v>0</v>
      </c>
      <c r="P29" s="4">
        <f t="shared" si="16"/>
        <v>0</v>
      </c>
      <c r="Q29" s="3"/>
      <c r="R29" s="3"/>
      <c r="S29" s="3"/>
      <c r="T29" s="3"/>
      <c r="U29" s="36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25">
      <c r="A30" s="3">
        <v>2</v>
      </c>
      <c r="B30" s="3">
        <v>2</v>
      </c>
      <c r="C30" s="9" t="str">
        <f t="shared" ref="C30:C46" si="17">D29</f>
        <v>X</v>
      </c>
      <c r="D30" s="7" t="str">
        <f t="shared" ref="D30:D46" si="18">E29</f>
        <v>X</v>
      </c>
      <c r="E30" s="5" t="str">
        <f t="shared" ref="E30:E46" si="19">F29</f>
        <v>X</v>
      </c>
      <c r="F30" s="4" t="str">
        <f t="shared" ref="F30:F46" si="20">G29</f>
        <v>X</v>
      </c>
      <c r="G30" s="9" t="str">
        <f t="shared" ref="G30:G46" si="21">H29</f>
        <v>X</v>
      </c>
      <c r="H30" s="7" t="str">
        <f t="shared" ref="H30:H46" si="22">I29</f>
        <v>X</v>
      </c>
      <c r="I30" s="5">
        <f>J29</f>
        <v>1</v>
      </c>
      <c r="J30" s="4">
        <v>2</v>
      </c>
      <c r="K30" s="9"/>
      <c r="L30" s="5"/>
      <c r="M30" s="4"/>
      <c r="N30" s="9">
        <f t="shared" si="14"/>
        <v>0</v>
      </c>
      <c r="O30" s="5">
        <f t="shared" si="15"/>
        <v>0</v>
      </c>
      <c r="P30" s="4">
        <f t="shared" si="16"/>
        <v>0</v>
      </c>
      <c r="Q30" s="3"/>
      <c r="R30" s="3"/>
      <c r="S30" s="3"/>
      <c r="T30" s="3"/>
      <c r="U30" s="36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25">
      <c r="A31" s="3">
        <v>3</v>
      </c>
      <c r="B31" s="3">
        <v>3</v>
      </c>
      <c r="C31" s="9" t="str">
        <f t="shared" si="17"/>
        <v>X</v>
      </c>
      <c r="D31" s="7" t="str">
        <f t="shared" si="18"/>
        <v>X</v>
      </c>
      <c r="E31" s="5" t="str">
        <f t="shared" si="19"/>
        <v>X</v>
      </c>
      <c r="F31" s="4" t="str">
        <f t="shared" si="20"/>
        <v>X</v>
      </c>
      <c r="G31" s="9" t="str">
        <f t="shared" si="21"/>
        <v>X</v>
      </c>
      <c r="H31" s="7">
        <f t="shared" si="22"/>
        <v>1</v>
      </c>
      <c r="I31" s="5">
        <f t="shared" ref="I31:I46" si="23">J30</f>
        <v>2</v>
      </c>
      <c r="J31" s="4">
        <v>-3</v>
      </c>
      <c r="K31" s="9"/>
      <c r="L31" s="5"/>
      <c r="M31" s="4"/>
      <c r="N31" s="9">
        <f t="shared" si="14"/>
        <v>0</v>
      </c>
      <c r="O31" s="5">
        <f t="shared" si="15"/>
        <v>0</v>
      </c>
      <c r="P31" s="4">
        <f t="shared" si="16"/>
        <v>0</v>
      </c>
      <c r="Q31" s="3"/>
      <c r="R31" s="3"/>
      <c r="S31" s="3"/>
      <c r="T31" s="3"/>
      <c r="U31" s="36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25">
      <c r="A32" s="3">
        <v>4</v>
      </c>
      <c r="B32" s="3">
        <v>4</v>
      </c>
      <c r="C32" s="9" t="str">
        <f t="shared" si="17"/>
        <v>X</v>
      </c>
      <c r="D32" s="7" t="str">
        <f t="shared" si="18"/>
        <v>X</v>
      </c>
      <c r="E32" s="5" t="str">
        <f t="shared" si="19"/>
        <v>X</v>
      </c>
      <c r="F32" s="4" t="str">
        <f t="shared" si="20"/>
        <v>X</v>
      </c>
      <c r="G32" s="9">
        <f t="shared" si="21"/>
        <v>1</v>
      </c>
      <c r="H32" s="7">
        <f t="shared" si="22"/>
        <v>2</v>
      </c>
      <c r="I32" s="5">
        <f t="shared" si="23"/>
        <v>-3</v>
      </c>
      <c r="J32" s="4">
        <v>-4</v>
      </c>
      <c r="K32" s="9"/>
      <c r="L32" s="5"/>
      <c r="M32" s="4"/>
      <c r="N32" s="9">
        <f t="shared" si="14"/>
        <v>0</v>
      </c>
      <c r="O32" s="5">
        <f t="shared" si="15"/>
        <v>0</v>
      </c>
      <c r="P32" s="4">
        <f t="shared" si="16"/>
        <v>0</v>
      </c>
      <c r="Q32" s="3" t="s">
        <v>39</v>
      </c>
      <c r="R32" s="3"/>
      <c r="S32" s="3"/>
      <c r="T32" s="3"/>
      <c r="U32" s="36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5">
      <c r="A33" s="3">
        <v>5</v>
      </c>
      <c r="B33" s="3">
        <v>5</v>
      </c>
      <c r="C33" s="9" t="str">
        <f t="shared" si="17"/>
        <v>X</v>
      </c>
      <c r="D33" s="7" t="str">
        <f t="shared" si="18"/>
        <v>X</v>
      </c>
      <c r="E33" s="5" t="str">
        <f t="shared" si="19"/>
        <v>X</v>
      </c>
      <c r="F33" s="4">
        <f t="shared" si="20"/>
        <v>1</v>
      </c>
      <c r="G33" s="9">
        <f t="shared" si="21"/>
        <v>2</v>
      </c>
      <c r="H33" s="7">
        <f t="shared" si="22"/>
        <v>-3</v>
      </c>
      <c r="I33" s="5">
        <f t="shared" si="23"/>
        <v>-4</v>
      </c>
      <c r="J33" s="4">
        <v>-5</v>
      </c>
      <c r="K33" s="9"/>
      <c r="L33" s="5"/>
      <c r="M33" s="4"/>
      <c r="N33" s="9">
        <f t="shared" si="14"/>
        <v>0</v>
      </c>
      <c r="O33" s="5">
        <f t="shared" si="15"/>
        <v>0</v>
      </c>
      <c r="P33" s="4">
        <f t="shared" si="16"/>
        <v>0</v>
      </c>
      <c r="Q33" s="3" t="s">
        <v>42</v>
      </c>
      <c r="R33" s="3" t="s">
        <v>40</v>
      </c>
      <c r="S33" s="3"/>
      <c r="T33" s="3"/>
      <c r="U33" s="36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5">
      <c r="A34" s="3">
        <v>6</v>
      </c>
      <c r="B34" s="3">
        <v>6</v>
      </c>
      <c r="C34" s="9" t="str">
        <f t="shared" si="17"/>
        <v>X</v>
      </c>
      <c r="D34" s="7" t="str">
        <f t="shared" si="18"/>
        <v>X</v>
      </c>
      <c r="E34" s="5">
        <f t="shared" si="19"/>
        <v>1</v>
      </c>
      <c r="F34" s="4">
        <f t="shared" si="20"/>
        <v>2</v>
      </c>
      <c r="G34" s="9">
        <f t="shared" si="21"/>
        <v>-3</v>
      </c>
      <c r="H34" s="7">
        <f t="shared" si="22"/>
        <v>-4</v>
      </c>
      <c r="I34" s="5">
        <f t="shared" si="23"/>
        <v>-5</v>
      </c>
      <c r="J34" s="4">
        <v>-6</v>
      </c>
      <c r="K34" s="9"/>
      <c r="L34" s="5"/>
      <c r="M34" s="4"/>
      <c r="N34" s="9">
        <f t="shared" si="14"/>
        <v>0</v>
      </c>
      <c r="O34" s="5">
        <f t="shared" si="15"/>
        <v>0</v>
      </c>
      <c r="P34" s="4">
        <f t="shared" si="16"/>
        <v>0</v>
      </c>
      <c r="Q34" s="3"/>
      <c r="R34" s="3" t="s">
        <v>41</v>
      </c>
      <c r="S34" s="3"/>
      <c r="T34" s="3"/>
      <c r="U34" s="36"/>
      <c r="V34" s="3"/>
      <c r="W34" s="3"/>
      <c r="X34" s="3"/>
      <c r="Y34" s="3"/>
      <c r="Z34" s="3"/>
      <c r="AA34" s="3"/>
      <c r="AB34" s="3"/>
      <c r="AC34" s="3"/>
      <c r="AD34" s="3"/>
    </row>
    <row r="35" spans="1:30" ht="16.5" thickBot="1" x14ac:dyDescent="0.3">
      <c r="A35" s="3">
        <v>7</v>
      </c>
      <c r="B35" s="3">
        <v>7</v>
      </c>
      <c r="C35" s="9" t="str">
        <f t="shared" si="17"/>
        <v>X</v>
      </c>
      <c r="D35" s="7">
        <f t="shared" si="18"/>
        <v>1</v>
      </c>
      <c r="E35" s="5">
        <f t="shared" si="19"/>
        <v>2</v>
      </c>
      <c r="F35" s="4">
        <f t="shared" si="20"/>
        <v>-3</v>
      </c>
      <c r="G35" s="9">
        <f t="shared" si="21"/>
        <v>-4</v>
      </c>
      <c r="H35" s="7">
        <f t="shared" si="22"/>
        <v>-5</v>
      </c>
      <c r="I35" s="5">
        <f t="shared" si="23"/>
        <v>-6</v>
      </c>
      <c r="J35" s="4">
        <v>7</v>
      </c>
      <c r="K35" s="9"/>
      <c r="L35" s="5"/>
      <c r="M35" s="4"/>
      <c r="N35" s="9">
        <f t="shared" si="14"/>
        <v>0</v>
      </c>
      <c r="O35" s="5">
        <f t="shared" si="15"/>
        <v>0</v>
      </c>
      <c r="P35" s="4">
        <f t="shared" si="16"/>
        <v>0</v>
      </c>
      <c r="Q35" s="3"/>
      <c r="R35" s="3"/>
      <c r="S35" s="3"/>
      <c r="T35" s="3"/>
      <c r="U35" s="36"/>
      <c r="V35" s="3"/>
      <c r="W35" s="3"/>
      <c r="X35" s="3"/>
      <c r="Y35" s="3"/>
      <c r="Z35" s="3"/>
      <c r="AA35" s="3"/>
      <c r="AB35" s="3"/>
      <c r="AC35" s="3"/>
      <c r="AD35" s="3"/>
    </row>
    <row r="36" spans="1:30" ht="16.5" thickBot="1" x14ac:dyDescent="0.3">
      <c r="A36" s="3">
        <v>8</v>
      </c>
      <c r="B36" s="11">
        <v>8</v>
      </c>
      <c r="C36" s="12">
        <f t="shared" si="17"/>
        <v>1</v>
      </c>
      <c r="D36" s="13">
        <f t="shared" si="18"/>
        <v>2</v>
      </c>
      <c r="E36" s="14">
        <f t="shared" si="19"/>
        <v>-3</v>
      </c>
      <c r="F36" s="15">
        <f t="shared" si="20"/>
        <v>-4</v>
      </c>
      <c r="G36" s="12">
        <f t="shared" si="21"/>
        <v>-5</v>
      </c>
      <c r="H36" s="13">
        <f t="shared" si="22"/>
        <v>-6</v>
      </c>
      <c r="I36" s="14">
        <f t="shared" si="23"/>
        <v>7</v>
      </c>
      <c r="J36" s="16">
        <v>8</v>
      </c>
      <c r="K36" s="9" t="str">
        <f>C36 &amp; "," &amp; D36 &amp; CHAR(10) &amp; G36 &amp; "," &amp; H36</f>
        <v>1,2
-5,-6</v>
      </c>
      <c r="L36" s="5" t="str">
        <f>C36 &amp; "," &amp; E36 &amp; CHAR(10) &amp; G36 &amp; "," &amp; I36</f>
        <v>1,-3
-5,7</v>
      </c>
      <c r="M36" s="4" t="str">
        <f>C36 &amp; "," &amp; F36 &amp; CHAR(10) &amp; G36 &amp; "," &amp; J36</f>
        <v>1,-4
-5,8</v>
      </c>
      <c r="N36" s="9">
        <f>D56</f>
        <v>3.9999999999999991</v>
      </c>
      <c r="O36" s="5">
        <f>N56</f>
        <v>-7.9999999999999991</v>
      </c>
      <c r="P36" s="4">
        <f>T56</f>
        <v>-12</v>
      </c>
      <c r="Q36" s="3"/>
      <c r="R36" s="3"/>
      <c r="S36" s="3"/>
      <c r="T36" s="3"/>
      <c r="U36" s="36"/>
      <c r="V36" s="3"/>
      <c r="W36" s="3"/>
      <c r="X36" s="3"/>
      <c r="Y36" s="3"/>
      <c r="Z36" s="3"/>
      <c r="AA36" s="3"/>
      <c r="AB36" s="3"/>
      <c r="AC36" s="3"/>
      <c r="AD36" s="27" t="s">
        <v>32</v>
      </c>
    </row>
    <row r="37" spans="1:30" x14ac:dyDescent="0.25">
      <c r="A37" s="3">
        <v>9</v>
      </c>
      <c r="B37" s="3">
        <v>9</v>
      </c>
      <c r="C37" s="9">
        <f t="shared" si="17"/>
        <v>2</v>
      </c>
      <c r="D37" s="7">
        <f t="shared" si="18"/>
        <v>-3</v>
      </c>
      <c r="E37" s="5">
        <f t="shared" si="19"/>
        <v>-4</v>
      </c>
      <c r="F37" s="4">
        <f t="shared" si="20"/>
        <v>-5</v>
      </c>
      <c r="G37" s="9">
        <f t="shared" si="21"/>
        <v>-6</v>
      </c>
      <c r="H37" s="7">
        <f t="shared" si="22"/>
        <v>7</v>
      </c>
      <c r="I37" s="5">
        <f t="shared" si="23"/>
        <v>8</v>
      </c>
      <c r="J37" s="4">
        <v>-9</v>
      </c>
      <c r="K37" s="9" t="str">
        <f t="shared" ref="K37:K46" si="24">C37 &amp; "," &amp; D37 &amp; CHAR(10) &amp; G37 &amp; "," &amp; H37</f>
        <v>2,-3
-6,7</v>
      </c>
      <c r="L37" s="5" t="str">
        <f t="shared" ref="L37" si="25">C37 &amp; "," &amp; E37 &amp; CHAR(10) &amp; G37 &amp; "," &amp; I37</f>
        <v>2,-4
-6,8</v>
      </c>
      <c r="M37" s="4"/>
      <c r="N37" s="9">
        <f>E56</f>
        <v>-4.0000000000000018</v>
      </c>
      <c r="O37" s="5">
        <f>O56</f>
        <v>-8</v>
      </c>
      <c r="P37" s="4">
        <f t="shared" ref="P37:P46" si="26">M37</f>
        <v>0</v>
      </c>
      <c r="Q37" s="3"/>
      <c r="R37" s="3"/>
      <c r="S37" s="3"/>
      <c r="T37" s="3"/>
      <c r="U37" s="36"/>
      <c r="V37" s="3"/>
      <c r="W37" s="3"/>
      <c r="X37" s="3"/>
      <c r="Y37" s="3">
        <f>N36</f>
        <v>3.9999999999999991</v>
      </c>
      <c r="Z37" s="3"/>
      <c r="AA37" s="3"/>
      <c r="AB37" s="3"/>
      <c r="AC37" s="3">
        <f>O36</f>
        <v>-7.9999999999999991</v>
      </c>
      <c r="AD37" s="27" t="s">
        <v>31</v>
      </c>
    </row>
    <row r="38" spans="1:30" x14ac:dyDescent="0.25">
      <c r="A38" s="3">
        <v>10</v>
      </c>
      <c r="B38" s="3">
        <v>10</v>
      </c>
      <c r="C38" s="9">
        <f t="shared" si="17"/>
        <v>-3</v>
      </c>
      <c r="D38" s="7">
        <f t="shared" si="18"/>
        <v>-4</v>
      </c>
      <c r="E38" s="5">
        <f t="shared" si="19"/>
        <v>-5</v>
      </c>
      <c r="F38" s="4">
        <f t="shared" si="20"/>
        <v>-6</v>
      </c>
      <c r="G38" s="9">
        <f t="shared" si="21"/>
        <v>7</v>
      </c>
      <c r="H38" s="7">
        <f t="shared" si="22"/>
        <v>8</v>
      </c>
      <c r="I38" s="5">
        <f t="shared" si="23"/>
        <v>-9</v>
      </c>
      <c r="J38" s="4">
        <v>10</v>
      </c>
      <c r="K38" s="9" t="str">
        <f t="shared" si="24"/>
        <v>-3,-4
7,8</v>
      </c>
      <c r="L38" s="5"/>
      <c r="M38" s="4"/>
      <c r="N38" s="9">
        <f>F56</f>
        <v>4.0000000000000018</v>
      </c>
      <c r="O38" s="5">
        <f>L38</f>
        <v>0</v>
      </c>
      <c r="P38" s="4">
        <f t="shared" si="26"/>
        <v>0</v>
      </c>
      <c r="Q38" s="3">
        <f>I38*E56-J38*O36</f>
        <v>116</v>
      </c>
      <c r="R38" s="3"/>
      <c r="S38" s="3"/>
      <c r="T38" s="3">
        <f t="shared" ref="T38:T39" si="27">U37</f>
        <v>0</v>
      </c>
      <c r="U38" s="36">
        <f t="shared" ref="U38:U39" si="28">V37</f>
        <v>0</v>
      </c>
      <c r="V38" s="3">
        <f t="shared" ref="V38:V39" si="29">W37</f>
        <v>0</v>
      </c>
      <c r="W38" s="3">
        <f t="shared" ref="W38:W39" si="30">X37</f>
        <v>0</v>
      </c>
      <c r="X38" s="3">
        <f t="shared" ref="X38:X39" si="31">Y37</f>
        <v>3.9999999999999991</v>
      </c>
      <c r="Y38" s="3">
        <f>N37</f>
        <v>-4.0000000000000018</v>
      </c>
      <c r="Z38" s="3">
        <f t="shared" ref="Z38:Z42" si="32">AA37</f>
        <v>0</v>
      </c>
      <c r="AA38" s="3">
        <f t="shared" ref="AA38" si="33">AB37</f>
        <v>0</v>
      </c>
      <c r="AB38" s="3">
        <f>AC37</f>
        <v>-7.9999999999999991</v>
      </c>
      <c r="AC38" s="3">
        <f>O37</f>
        <v>-8</v>
      </c>
      <c r="AD38" s="27" t="s">
        <v>30</v>
      </c>
    </row>
    <row r="39" spans="1:30" x14ac:dyDescent="0.25">
      <c r="A39" s="3">
        <v>11</v>
      </c>
      <c r="B39" s="3">
        <v>11</v>
      </c>
      <c r="C39" s="9">
        <f t="shared" si="17"/>
        <v>-4</v>
      </c>
      <c r="D39" s="7">
        <f t="shared" si="18"/>
        <v>-5</v>
      </c>
      <c r="E39" s="5">
        <f t="shared" si="19"/>
        <v>-6</v>
      </c>
      <c r="F39" s="4">
        <f t="shared" si="20"/>
        <v>7</v>
      </c>
      <c r="G39" s="9">
        <f t="shared" si="21"/>
        <v>8</v>
      </c>
      <c r="H39" s="7">
        <f t="shared" si="22"/>
        <v>-9</v>
      </c>
      <c r="I39" s="5">
        <f t="shared" si="23"/>
        <v>10</v>
      </c>
      <c r="J39" s="4">
        <v>-11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26"/>
        <v>0</v>
      </c>
      <c r="Q39" s="3">
        <f>Q38+J39*N36</f>
        <v>72</v>
      </c>
      <c r="R39" s="3">
        <f>Q38</f>
        <v>116</v>
      </c>
      <c r="S39" s="3">
        <f t="shared" ref="S39" si="34">T38</f>
        <v>0</v>
      </c>
      <c r="T39" s="3">
        <f t="shared" si="27"/>
        <v>0</v>
      </c>
      <c r="U39" s="36">
        <f t="shared" si="28"/>
        <v>0</v>
      </c>
      <c r="V39" s="3">
        <f t="shared" si="29"/>
        <v>0</v>
      </c>
      <c r="W39" s="3">
        <f t="shared" si="30"/>
        <v>3.9999999999999991</v>
      </c>
      <c r="X39" s="3">
        <f t="shared" si="31"/>
        <v>-4.0000000000000018</v>
      </c>
      <c r="Y39" s="3">
        <f>N38</f>
        <v>4.0000000000000018</v>
      </c>
      <c r="Z39" s="3">
        <f t="shared" si="32"/>
        <v>0</v>
      </c>
      <c r="AA39" s="3">
        <f t="shared" ref="AA39:AA40" si="35">AA38</f>
        <v>0</v>
      </c>
      <c r="AB39" s="3">
        <f t="shared" ref="AB39:AB40" si="36">AB38</f>
        <v>-7.9999999999999991</v>
      </c>
      <c r="AC39" s="3">
        <f t="shared" ref="AC39:AC40" si="37">AC38</f>
        <v>-8</v>
      </c>
      <c r="AD39" s="3" t="s">
        <v>29</v>
      </c>
    </row>
    <row r="40" spans="1:30" x14ac:dyDescent="0.25">
      <c r="A40" s="3">
        <v>12</v>
      </c>
      <c r="B40" s="3">
        <v>12</v>
      </c>
      <c r="C40" s="9">
        <f t="shared" si="17"/>
        <v>-5</v>
      </c>
      <c r="D40" s="7">
        <f t="shared" si="18"/>
        <v>-6</v>
      </c>
      <c r="E40" s="5">
        <f t="shared" si="19"/>
        <v>7</v>
      </c>
      <c r="F40" s="4">
        <f t="shared" si="20"/>
        <v>8</v>
      </c>
      <c r="G40" s="9">
        <f t="shared" si="21"/>
        <v>-9</v>
      </c>
      <c r="H40" s="7">
        <f t="shared" si="22"/>
        <v>10</v>
      </c>
      <c r="I40" s="5">
        <f t="shared" si="23"/>
        <v>-11</v>
      </c>
      <c r="J40" s="4">
        <v>12</v>
      </c>
      <c r="K40" s="9" t="str">
        <f t="shared" si="24"/>
        <v>-5,-6
-9,10</v>
      </c>
      <c r="L40" s="5" t="str">
        <f t="shared" ref="L40:L41" si="38">C40 &amp; "," &amp; E40 &amp; CHAR(10) &amp; G40 &amp; "," &amp; I40</f>
        <v>-5,7
-9,-11</v>
      </c>
      <c r="M40" s="4"/>
      <c r="N40" s="9">
        <f>D57</f>
        <v>-104</v>
      </c>
      <c r="O40" s="5">
        <f>N57</f>
        <v>118</v>
      </c>
      <c r="P40" s="4">
        <f t="shared" si="26"/>
        <v>0</v>
      </c>
      <c r="Q40" s="3">
        <f>J38*N38-J39*O37</f>
        <v>-47.999999999999986</v>
      </c>
      <c r="R40" s="3">
        <f t="shared" ref="R40:R46" si="39">Q39</f>
        <v>72</v>
      </c>
      <c r="S40" s="3">
        <f t="shared" ref="S40:Y40" si="40">S39</f>
        <v>0</v>
      </c>
      <c r="T40" s="3">
        <f t="shared" si="40"/>
        <v>0</v>
      </c>
      <c r="U40" s="36">
        <f t="shared" si="40"/>
        <v>0</v>
      </c>
      <c r="V40" s="3">
        <f t="shared" si="40"/>
        <v>0</v>
      </c>
      <c r="W40" s="3">
        <f t="shared" si="40"/>
        <v>3.9999999999999991</v>
      </c>
      <c r="X40" s="3">
        <f t="shared" si="40"/>
        <v>-4.0000000000000018</v>
      </c>
      <c r="Y40" s="3">
        <f t="shared" si="40"/>
        <v>4.0000000000000018</v>
      </c>
      <c r="Z40" s="3">
        <f t="shared" si="32"/>
        <v>0</v>
      </c>
      <c r="AA40" s="3">
        <f t="shared" si="35"/>
        <v>0</v>
      </c>
      <c r="AB40" s="3">
        <f t="shared" si="36"/>
        <v>-7.9999999999999991</v>
      </c>
      <c r="AC40" s="3">
        <f t="shared" si="37"/>
        <v>-8</v>
      </c>
      <c r="AD40" s="27" t="s">
        <v>28</v>
      </c>
    </row>
    <row r="41" spans="1:30" x14ac:dyDescent="0.25">
      <c r="A41" s="3">
        <v>13</v>
      </c>
      <c r="B41" s="3">
        <v>13</v>
      </c>
      <c r="C41" s="9">
        <f t="shared" si="17"/>
        <v>-6</v>
      </c>
      <c r="D41" s="7">
        <f t="shared" si="18"/>
        <v>7</v>
      </c>
      <c r="E41" s="5">
        <f t="shared" si="19"/>
        <v>8</v>
      </c>
      <c r="F41" s="4">
        <f t="shared" si="20"/>
        <v>-9</v>
      </c>
      <c r="G41" s="9">
        <f t="shared" si="21"/>
        <v>10</v>
      </c>
      <c r="H41" s="7">
        <f t="shared" si="22"/>
        <v>-11</v>
      </c>
      <c r="I41" s="5">
        <f t="shared" si="23"/>
        <v>12</v>
      </c>
      <c r="J41" s="4">
        <v>13</v>
      </c>
      <c r="K41" s="9" t="str">
        <f t="shared" si="24"/>
        <v>-6,7
10,-11</v>
      </c>
      <c r="L41" s="5" t="str">
        <f t="shared" si="38"/>
        <v>-6,8
10,12</v>
      </c>
      <c r="M41" s="4"/>
      <c r="N41" s="9">
        <f>E57</f>
        <v>-4.0000000000000036</v>
      </c>
      <c r="O41" s="5">
        <f>O57</f>
        <v>-152</v>
      </c>
      <c r="P41" s="4">
        <f t="shared" si="26"/>
        <v>0</v>
      </c>
      <c r="Q41" s="3">
        <f>Q40+J40*N37</f>
        <v>-96</v>
      </c>
      <c r="R41" s="3">
        <f t="shared" si="39"/>
        <v>-47.999999999999986</v>
      </c>
      <c r="S41" s="3">
        <f t="shared" ref="S41:S43" si="41">T40</f>
        <v>0</v>
      </c>
      <c r="T41" s="3">
        <f t="shared" ref="T41:T43" si="42">U40</f>
        <v>0</v>
      </c>
      <c r="U41" s="36">
        <f t="shared" ref="U41:U43" si="43">V40</f>
        <v>0</v>
      </c>
      <c r="V41" s="3">
        <f t="shared" ref="V41:V43" si="44">W40</f>
        <v>3.9999999999999991</v>
      </c>
      <c r="W41" s="3">
        <f t="shared" ref="W41:W43" si="45">X40</f>
        <v>-4.0000000000000018</v>
      </c>
      <c r="X41" s="3">
        <f t="shared" ref="X41:X43" si="46">Y40</f>
        <v>4.0000000000000018</v>
      </c>
      <c r="Y41" s="3">
        <f>N40</f>
        <v>-104</v>
      </c>
      <c r="Z41" s="3">
        <f t="shared" si="32"/>
        <v>0</v>
      </c>
      <c r="AA41" s="3">
        <f t="shared" ref="AA41:AA42" si="47">AB40</f>
        <v>-7.9999999999999991</v>
      </c>
      <c r="AB41" s="3">
        <f t="shared" ref="AB41:AB42" si="48">AC40</f>
        <v>-8</v>
      </c>
      <c r="AC41" s="3">
        <f>O40</f>
        <v>118</v>
      </c>
      <c r="AD41" s="27" t="s">
        <v>27</v>
      </c>
    </row>
    <row r="42" spans="1:30" x14ac:dyDescent="0.25">
      <c r="A42" s="3">
        <v>14</v>
      </c>
      <c r="B42" s="3">
        <v>14</v>
      </c>
      <c r="C42" s="9">
        <f t="shared" si="17"/>
        <v>7</v>
      </c>
      <c r="D42" s="7">
        <f t="shared" si="18"/>
        <v>8</v>
      </c>
      <c r="E42" s="5">
        <f t="shared" si="19"/>
        <v>-9</v>
      </c>
      <c r="F42" s="4">
        <f t="shared" si="20"/>
        <v>10</v>
      </c>
      <c r="G42" s="9">
        <f t="shared" si="21"/>
        <v>-11</v>
      </c>
      <c r="H42" s="7">
        <f t="shared" si="22"/>
        <v>12</v>
      </c>
      <c r="I42" s="5">
        <f t="shared" si="23"/>
        <v>13</v>
      </c>
      <c r="J42" s="4">
        <v>-14</v>
      </c>
      <c r="K42" s="9" t="str">
        <f t="shared" si="24"/>
        <v>7,8
-11,12</v>
      </c>
      <c r="L42" s="5"/>
      <c r="M42" s="4"/>
      <c r="N42" s="9">
        <f>F57</f>
        <v>172</v>
      </c>
      <c r="O42" s="5">
        <f>L42</f>
        <v>0</v>
      </c>
      <c r="P42" s="4">
        <f t="shared" si="26"/>
        <v>0</v>
      </c>
      <c r="Q42" s="3">
        <f>J41*N41-J42*O40</f>
        <v>1600</v>
      </c>
      <c r="R42" s="3">
        <f t="shared" si="39"/>
        <v>-96</v>
      </c>
      <c r="S42" s="3">
        <f t="shared" si="41"/>
        <v>0</v>
      </c>
      <c r="T42" s="3">
        <f t="shared" si="42"/>
        <v>0</v>
      </c>
      <c r="U42" s="36">
        <f t="shared" si="43"/>
        <v>3.9999999999999991</v>
      </c>
      <c r="V42" s="3">
        <f t="shared" si="44"/>
        <v>-4.0000000000000018</v>
      </c>
      <c r="W42" s="3">
        <f t="shared" si="45"/>
        <v>4.0000000000000018</v>
      </c>
      <c r="X42" s="3">
        <f t="shared" si="46"/>
        <v>-104</v>
      </c>
      <c r="Y42" s="3">
        <f>N41</f>
        <v>-4.0000000000000036</v>
      </c>
      <c r="Z42" s="28">
        <f t="shared" si="32"/>
        <v>-7.9999999999999991</v>
      </c>
      <c r="AA42" s="28">
        <f t="shared" si="47"/>
        <v>-8</v>
      </c>
      <c r="AB42" s="28">
        <f t="shared" si="48"/>
        <v>118</v>
      </c>
      <c r="AC42" s="28">
        <f>O41</f>
        <v>-152</v>
      </c>
      <c r="AD42" s="27" t="s">
        <v>26</v>
      </c>
    </row>
    <row r="43" spans="1:30" x14ac:dyDescent="0.25">
      <c r="A43" s="3">
        <v>15</v>
      </c>
      <c r="B43" s="3">
        <v>15</v>
      </c>
      <c r="C43" s="9">
        <f t="shared" si="17"/>
        <v>8</v>
      </c>
      <c r="D43" s="7">
        <f t="shared" si="18"/>
        <v>-9</v>
      </c>
      <c r="E43" s="5">
        <f t="shared" si="19"/>
        <v>10</v>
      </c>
      <c r="F43" s="4">
        <f t="shared" si="20"/>
        <v>-11</v>
      </c>
      <c r="G43" s="9">
        <f t="shared" si="21"/>
        <v>12</v>
      </c>
      <c r="H43" s="7">
        <f t="shared" si="22"/>
        <v>13</v>
      </c>
      <c r="I43" s="5">
        <f t="shared" si="23"/>
        <v>-14</v>
      </c>
      <c r="J43" s="4">
        <v>15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26"/>
        <v>0</v>
      </c>
      <c r="Q43" s="3">
        <f>Q42+J43*N40</f>
        <v>40</v>
      </c>
      <c r="R43" s="3">
        <f t="shared" si="39"/>
        <v>1600</v>
      </c>
      <c r="S43" s="3">
        <f t="shared" si="41"/>
        <v>0</v>
      </c>
      <c r="T43" s="9">
        <f t="shared" si="42"/>
        <v>3.9999999999999991</v>
      </c>
      <c r="U43" s="37">
        <f t="shared" si="43"/>
        <v>-4.0000000000000018</v>
      </c>
      <c r="V43" s="9">
        <f t="shared" si="44"/>
        <v>4.0000000000000018</v>
      </c>
      <c r="W43" s="9">
        <f t="shared" si="45"/>
        <v>-104</v>
      </c>
      <c r="X43" s="9">
        <f t="shared" si="46"/>
        <v>-4.0000000000000036</v>
      </c>
      <c r="Y43" s="9">
        <f>N42</f>
        <v>172</v>
      </c>
      <c r="Z43" s="3"/>
      <c r="AA43" s="3"/>
      <c r="AB43" s="3"/>
      <c r="AC43" s="3"/>
      <c r="AD43" s="3" t="s">
        <v>25</v>
      </c>
    </row>
    <row r="44" spans="1:30" x14ac:dyDescent="0.25">
      <c r="A44" s="3">
        <v>16</v>
      </c>
      <c r="B44" s="3">
        <v>16</v>
      </c>
      <c r="C44" s="9">
        <f t="shared" si="17"/>
        <v>-9</v>
      </c>
      <c r="D44" s="7">
        <f t="shared" si="18"/>
        <v>10</v>
      </c>
      <c r="E44" s="5">
        <f t="shared" si="19"/>
        <v>-11</v>
      </c>
      <c r="F44" s="4">
        <f t="shared" si="20"/>
        <v>12</v>
      </c>
      <c r="G44" s="9">
        <f t="shared" si="21"/>
        <v>13</v>
      </c>
      <c r="H44" s="7">
        <f t="shared" si="22"/>
        <v>-14</v>
      </c>
      <c r="I44" s="5">
        <f t="shared" si="23"/>
        <v>15</v>
      </c>
      <c r="J44" s="4">
        <v>-16</v>
      </c>
      <c r="K44" s="9" t="str">
        <f t="shared" si="24"/>
        <v>-9,10
13,-14</v>
      </c>
      <c r="L44" s="5"/>
      <c r="M44" s="4"/>
      <c r="N44" s="9">
        <f>D58</f>
        <v>-4.0000000000000089</v>
      </c>
      <c r="O44" s="5">
        <f>L44</f>
        <v>0</v>
      </c>
      <c r="P44" s="4">
        <f t="shared" si="26"/>
        <v>0</v>
      </c>
      <c r="Q44" s="3">
        <f>J42*N42-J43*O41</f>
        <v>-128</v>
      </c>
      <c r="R44" s="3">
        <f t="shared" si="39"/>
        <v>40</v>
      </c>
      <c r="S44" s="3"/>
      <c r="T44" s="3"/>
      <c r="U44" s="36"/>
      <c r="V44" s="3"/>
      <c r="W44" s="3"/>
      <c r="X44" s="3"/>
      <c r="Y44" s="3"/>
      <c r="Z44" s="3"/>
      <c r="AA44" s="3"/>
      <c r="AB44" s="3"/>
      <c r="AC44" s="3"/>
      <c r="AD44" s="27" t="s">
        <v>24</v>
      </c>
    </row>
    <row r="45" spans="1:30" x14ac:dyDescent="0.25">
      <c r="A45" s="3">
        <v>17</v>
      </c>
      <c r="B45" s="3" t="s">
        <v>10</v>
      </c>
      <c r="C45" s="9">
        <f t="shared" si="17"/>
        <v>10</v>
      </c>
      <c r="D45" s="7">
        <f t="shared" si="18"/>
        <v>-11</v>
      </c>
      <c r="E45" s="5">
        <f t="shared" si="19"/>
        <v>12</v>
      </c>
      <c r="F45" s="4">
        <f t="shared" si="20"/>
        <v>13</v>
      </c>
      <c r="G45" s="9">
        <f t="shared" si="21"/>
        <v>-14</v>
      </c>
      <c r="H45" s="7">
        <f t="shared" si="22"/>
        <v>15</v>
      </c>
      <c r="I45" s="5">
        <f t="shared" si="23"/>
        <v>-16</v>
      </c>
      <c r="J45" s="4">
        <v>0</v>
      </c>
      <c r="K45" s="9" t="str">
        <f t="shared" si="24"/>
        <v>10,-11
-14,15</v>
      </c>
      <c r="L45" s="5"/>
      <c r="M45" s="4"/>
      <c r="N45" s="9">
        <f>E58</f>
        <v>-3.9999999999999858</v>
      </c>
      <c r="O45" s="5">
        <f>L45</f>
        <v>0</v>
      </c>
      <c r="P45" s="4">
        <f t="shared" si="26"/>
        <v>0</v>
      </c>
      <c r="Q45" s="3">
        <f>Q44+J44*N41</f>
        <v>-63.999999999999943</v>
      </c>
      <c r="R45" s="3">
        <f t="shared" si="39"/>
        <v>-128</v>
      </c>
      <c r="S45" s="3"/>
      <c r="T45" s="3"/>
      <c r="U45" s="36"/>
      <c r="V45" s="3"/>
      <c r="W45" s="3"/>
      <c r="X45" s="3"/>
      <c r="Y45" s="3"/>
      <c r="Z45" s="3"/>
      <c r="AA45" s="3"/>
      <c r="AB45" s="3"/>
      <c r="AC45" s="3"/>
      <c r="AD45" s="27"/>
    </row>
    <row r="46" spans="1:30" x14ac:dyDescent="0.25">
      <c r="A46" s="3">
        <v>18</v>
      </c>
      <c r="B46" s="3" t="s">
        <v>10</v>
      </c>
      <c r="C46" s="9">
        <f t="shared" si="17"/>
        <v>-11</v>
      </c>
      <c r="D46" s="7">
        <f t="shared" si="18"/>
        <v>12</v>
      </c>
      <c r="E46" s="5">
        <f t="shared" si="19"/>
        <v>13</v>
      </c>
      <c r="F46" s="4">
        <f t="shared" si="20"/>
        <v>-14</v>
      </c>
      <c r="G46" s="9">
        <f t="shared" si="21"/>
        <v>15</v>
      </c>
      <c r="H46" s="7">
        <f t="shared" si="22"/>
        <v>-16</v>
      </c>
      <c r="I46" s="5">
        <f t="shared" si="23"/>
        <v>0</v>
      </c>
      <c r="J46" s="4">
        <v>0</v>
      </c>
      <c r="K46" s="9" t="str">
        <f t="shared" si="24"/>
        <v>-11,12
15,-16</v>
      </c>
      <c r="L46" s="5"/>
      <c r="M46" s="4"/>
      <c r="N46" s="9">
        <f>F58</f>
        <v>-4.0000000000000124</v>
      </c>
      <c r="O46" s="5">
        <f>L46</f>
        <v>0</v>
      </c>
      <c r="P46" s="4">
        <f t="shared" si="26"/>
        <v>0</v>
      </c>
      <c r="Q46" s="3"/>
      <c r="R46" s="3">
        <f t="shared" si="39"/>
        <v>-63.999999999999943</v>
      </c>
      <c r="S46" s="3"/>
      <c r="T46" s="3"/>
      <c r="U46" s="36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5">
      <c r="A47" s="3">
        <v>19</v>
      </c>
      <c r="B47" s="3"/>
      <c r="C47" s="9">
        <f t="shared" ref="C47" si="49">D46</f>
        <v>12</v>
      </c>
      <c r="D47" s="7">
        <f t="shared" ref="D47" si="50">E46</f>
        <v>13</v>
      </c>
      <c r="E47" s="5">
        <f t="shared" ref="E47" si="51">F46</f>
        <v>-14</v>
      </c>
      <c r="F47" s="4">
        <f t="shared" ref="F47" si="52">G46</f>
        <v>15</v>
      </c>
      <c r="G47" s="9">
        <f t="shared" ref="G47" si="53">H46</f>
        <v>-16</v>
      </c>
      <c r="H47" s="7">
        <f t="shared" ref="H47" si="54">I46</f>
        <v>0</v>
      </c>
      <c r="I47" s="5">
        <f t="shared" ref="I47" si="55">J46</f>
        <v>0</v>
      </c>
      <c r="J47" s="4">
        <v>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6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5">
      <c r="A48" s="3">
        <v>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6"/>
      <c r="V48" s="3"/>
      <c r="W48" s="3"/>
      <c r="X48" s="3"/>
      <c r="Y48" s="3"/>
      <c r="Z48" s="3"/>
      <c r="AA48" s="3"/>
      <c r="AB48" s="3"/>
      <c r="AC48" s="3"/>
      <c r="AD48" s="3"/>
    </row>
    <row r="51" spans="3:21" x14ac:dyDescent="0.25">
      <c r="C51">
        <f>J29</f>
        <v>1</v>
      </c>
      <c r="D51">
        <f>J30</f>
        <v>2</v>
      </c>
      <c r="E51">
        <f>J31</f>
        <v>-3</v>
      </c>
      <c r="F51">
        <f>J32</f>
        <v>-4</v>
      </c>
      <c r="H51" s="19">
        <f>C51</f>
        <v>1</v>
      </c>
      <c r="I51" s="19">
        <f>E51</f>
        <v>-3</v>
      </c>
      <c r="J51" s="19"/>
      <c r="K51" s="19">
        <f>D51</f>
        <v>2</v>
      </c>
      <c r="L51" s="19">
        <f>F51</f>
        <v>-4</v>
      </c>
      <c r="M51" s="19"/>
      <c r="N51" s="19">
        <f>C52</f>
        <v>-5</v>
      </c>
      <c r="O51" s="19">
        <f>E52</f>
        <v>7</v>
      </c>
      <c r="P51" s="19"/>
      <c r="Q51" s="19">
        <f>D52</f>
        <v>-6</v>
      </c>
      <c r="R51" s="19">
        <f>F52</f>
        <v>8</v>
      </c>
      <c r="T51" s="18">
        <f>C51</f>
        <v>1</v>
      </c>
      <c r="U51" s="18">
        <f>F51</f>
        <v>-4</v>
      </c>
    </row>
    <row r="52" spans="3:21" x14ac:dyDescent="0.25">
      <c r="C52">
        <f>J33</f>
        <v>-5</v>
      </c>
      <c r="D52">
        <f>J34</f>
        <v>-6</v>
      </c>
      <c r="E52">
        <f>J35</f>
        <v>7</v>
      </c>
      <c r="F52">
        <f>J36</f>
        <v>8</v>
      </c>
      <c r="H52" s="19">
        <f>C52</f>
        <v>-5</v>
      </c>
      <c r="I52" s="19">
        <f>E52</f>
        <v>7</v>
      </c>
      <c r="J52" s="19"/>
      <c r="K52" s="19">
        <f>D52</f>
        <v>-6</v>
      </c>
      <c r="L52" s="19">
        <f>F52</f>
        <v>8</v>
      </c>
      <c r="M52" s="19"/>
      <c r="N52" s="19">
        <f>C53</f>
        <v>-9</v>
      </c>
      <c r="O52" s="19">
        <f>E53</f>
        <v>-11</v>
      </c>
      <c r="P52" s="19"/>
      <c r="Q52" s="19">
        <f>D53</f>
        <v>10</v>
      </c>
      <c r="R52" s="19">
        <f>F53</f>
        <v>12</v>
      </c>
      <c r="T52" s="18">
        <f>C52</f>
        <v>-5</v>
      </c>
      <c r="U52" s="18">
        <f>F52</f>
        <v>8</v>
      </c>
    </row>
    <row r="53" spans="3:21" x14ac:dyDescent="0.25">
      <c r="C53">
        <f>J37</f>
        <v>-9</v>
      </c>
      <c r="D53">
        <f>J38</f>
        <v>10</v>
      </c>
      <c r="E53">
        <f>J39</f>
        <v>-11</v>
      </c>
      <c r="F53">
        <f>J40</f>
        <v>12</v>
      </c>
    </row>
    <row r="54" spans="3:21" x14ac:dyDescent="0.25">
      <c r="C54">
        <f>J41</f>
        <v>13</v>
      </c>
      <c r="D54">
        <f>J42</f>
        <v>-14</v>
      </c>
      <c r="E54">
        <f>J43</f>
        <v>15</v>
      </c>
      <c r="F54">
        <f>J44</f>
        <v>-16</v>
      </c>
    </row>
    <row r="56" spans="3:21" ht="17.25" x14ac:dyDescent="0.3">
      <c r="C56" t="s">
        <v>107</v>
      </c>
      <c r="D56" s="58">
        <f>MDETERM(C51:D52)</f>
        <v>3.9999999999999991</v>
      </c>
      <c r="E56" s="58">
        <f>MDETERM(D51:E52)</f>
        <v>-4.0000000000000018</v>
      </c>
      <c r="F56" s="58">
        <f>MDETERM(E51:F52)</f>
        <v>4.0000000000000018</v>
      </c>
      <c r="G56" s="10">
        <f>D57</f>
        <v>-104</v>
      </c>
      <c r="H56" s="10">
        <f>E57</f>
        <v>-4.0000000000000036</v>
      </c>
      <c r="I56" s="10">
        <f>F57</f>
        <v>172</v>
      </c>
      <c r="J56" s="10">
        <f>D58</f>
        <v>-4.0000000000000089</v>
      </c>
      <c r="K56" s="10">
        <f>E58</f>
        <v>-3.9999999999999858</v>
      </c>
      <c r="L56" s="10">
        <f>F58</f>
        <v>-4.0000000000000124</v>
      </c>
      <c r="M56" s="10"/>
      <c r="N56" s="6">
        <f>MDETERM(H51:I52)</f>
        <v>-7.9999999999999991</v>
      </c>
      <c r="O56" s="6">
        <f>MDETERM(K51:L52)</f>
        <v>-8</v>
      </c>
      <c r="P56">
        <f>N57</f>
        <v>118</v>
      </c>
      <c r="Q56">
        <f>O57</f>
        <v>-152</v>
      </c>
      <c r="T56">
        <f>MDETERM(T51:U52)</f>
        <v>-12</v>
      </c>
    </row>
    <row r="57" spans="3:21" ht="17.25" x14ac:dyDescent="0.3">
      <c r="D57" s="58">
        <f t="shared" ref="D57:F57" si="56">MDETERM(C52:D53)</f>
        <v>-104</v>
      </c>
      <c r="E57" s="58">
        <f t="shared" si="56"/>
        <v>-4.0000000000000036</v>
      </c>
      <c r="F57" s="58">
        <f t="shared" si="56"/>
        <v>172</v>
      </c>
      <c r="N57" s="6">
        <f>MDETERM(N51:O52)</f>
        <v>118</v>
      </c>
      <c r="O57" s="6">
        <f>MDETERM(Q51:R52)</f>
        <v>-152</v>
      </c>
    </row>
    <row r="58" spans="3:21" ht="17.25" x14ac:dyDescent="0.3">
      <c r="D58" s="58">
        <f t="shared" ref="D58:F58" si="57">MDETERM(C53:D54)</f>
        <v>-4.0000000000000089</v>
      </c>
      <c r="E58" s="58">
        <f t="shared" si="57"/>
        <v>-3.9999999999999858</v>
      </c>
      <c r="F58" s="58">
        <f t="shared" si="57"/>
        <v>-4.0000000000000124</v>
      </c>
    </row>
    <row r="61" spans="3:21" x14ac:dyDescent="0.25">
      <c r="C61" t="s">
        <v>108</v>
      </c>
      <c r="D61">
        <f>MDETERM(C51:E53)</f>
        <v>72.000000000000028</v>
      </c>
      <c r="E61">
        <f>MDETERM(D51:F53)</f>
        <v>-95.999999999999943</v>
      </c>
      <c r="F61">
        <f>D62</f>
        <v>39.999999999999822</v>
      </c>
      <c r="G61">
        <f>E62</f>
        <v>-63.999999999999794</v>
      </c>
    </row>
    <row r="62" spans="3:21" x14ac:dyDescent="0.25">
      <c r="D62">
        <f>MDETERM(C52:E54)</f>
        <v>39.999999999999822</v>
      </c>
      <c r="E62">
        <f>MDETERM(D52:F54)</f>
        <v>-63.999999999999794</v>
      </c>
    </row>
    <row r="65" spans="3:4" x14ac:dyDescent="0.25">
      <c r="C65" t="s">
        <v>109</v>
      </c>
      <c r="D65">
        <f>MDETERM(C51:F54)</f>
        <v>191.9999999999996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40A6-79FB-45A1-BEC4-2E5F79AA3E7D}">
  <dimension ref="A1:AJ95"/>
  <sheetViews>
    <sheetView zoomScale="55" zoomScaleNormal="55" workbookViewId="0">
      <selection activeCell="AD10" sqref="W10:AD10"/>
    </sheetView>
  </sheetViews>
  <sheetFormatPr defaultRowHeight="15.75" x14ac:dyDescent="0.25"/>
  <cols>
    <col min="4" max="4" width="13.85546875" bestFit="1" customWidth="1"/>
    <col min="5" max="5" width="15.7109375" bestFit="1" customWidth="1"/>
    <col min="9" max="9" width="15.7109375" bestFit="1" customWidth="1"/>
    <col min="11" max="11" width="18.85546875" bestFit="1" customWidth="1"/>
    <col min="12" max="12" width="19.5703125" bestFit="1" customWidth="1"/>
    <col min="13" max="13" width="17.7109375" bestFit="1" customWidth="1"/>
    <col min="14" max="14" width="9.42578125" bestFit="1" customWidth="1"/>
    <col min="17" max="17" width="29" bestFit="1" customWidth="1"/>
    <col min="18" max="18" width="18.7109375" bestFit="1" customWidth="1"/>
    <col min="19" max="20" width="18.140625" bestFit="1" customWidth="1"/>
    <col min="21" max="21" width="18.42578125" bestFit="1" customWidth="1"/>
    <col min="22" max="22" width="13.85546875" bestFit="1" customWidth="1"/>
    <col min="25" max="25" width="13" bestFit="1" customWidth="1"/>
    <col min="26" max="29" width="26.5703125" bestFit="1" customWidth="1"/>
    <col min="30" max="30" width="26" bestFit="1" customWidth="1"/>
    <col min="31" max="33" width="24.85546875" bestFit="1" customWidth="1"/>
    <col min="34" max="34" width="24.42578125" bestFit="1" customWidth="1"/>
  </cols>
  <sheetData>
    <row r="1" spans="1:35" x14ac:dyDescent="0.25">
      <c r="A1" s="3" t="s">
        <v>1</v>
      </c>
      <c r="B1" s="3" t="s">
        <v>2</v>
      </c>
      <c r="C1" s="9" t="s">
        <v>3</v>
      </c>
      <c r="D1" s="7" t="s">
        <v>11</v>
      </c>
      <c r="E1" s="5" t="s">
        <v>4</v>
      </c>
      <c r="F1" s="4" t="s">
        <v>5</v>
      </c>
      <c r="G1" s="9" t="s">
        <v>6</v>
      </c>
      <c r="H1" s="7" t="s">
        <v>7</v>
      </c>
      <c r="I1" s="5" t="s">
        <v>8</v>
      </c>
      <c r="J1" s="4" t="s">
        <v>9</v>
      </c>
      <c r="K1" s="9" t="s">
        <v>12</v>
      </c>
      <c r="L1" s="5"/>
      <c r="M1" s="4"/>
      <c r="N1" s="9" t="str">
        <f t="shared" ref="N1:P16" si="0">K1</f>
        <v>det22_c</v>
      </c>
      <c r="O1" s="5">
        <f t="shared" si="0"/>
        <v>0</v>
      </c>
      <c r="P1" s="4">
        <f t="shared" si="0"/>
        <v>0</v>
      </c>
      <c r="Q1" s="3" t="s">
        <v>35</v>
      </c>
      <c r="R1" s="3"/>
      <c r="S1" s="3"/>
      <c r="U1" s="3" t="s">
        <v>80</v>
      </c>
      <c r="V1" s="3" t="s">
        <v>68</v>
      </c>
      <c r="W1" s="3" t="s">
        <v>69</v>
      </c>
      <c r="X1" s="3"/>
      <c r="Y1" s="3" t="s">
        <v>1</v>
      </c>
      <c r="Z1" s="3" t="e">
        <f>LEFT(#REF!, LEN(#REF!)-2) &amp; "1]"</f>
        <v>#REF!</v>
      </c>
      <c r="AA1" s="3" t="s">
        <v>16</v>
      </c>
      <c r="AB1" s="3" t="s">
        <v>17</v>
      </c>
      <c r="AC1" s="3" t="s">
        <v>14</v>
      </c>
      <c r="AD1" s="3" t="s">
        <v>18</v>
      </c>
      <c r="AE1" s="3" t="s">
        <v>19</v>
      </c>
      <c r="AF1" s="3" t="s">
        <v>20</v>
      </c>
      <c r="AG1" s="3" t="s">
        <v>33</v>
      </c>
      <c r="AH1" s="3" t="s">
        <v>34</v>
      </c>
      <c r="AI1" s="3" t="s">
        <v>23</v>
      </c>
    </row>
    <row r="2" spans="1:35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9">
        <f t="shared" si="0"/>
        <v>0</v>
      </c>
      <c r="O2" s="5">
        <f t="shared" si="0"/>
        <v>0</v>
      </c>
      <c r="P2" s="4">
        <f t="shared" si="0"/>
        <v>0</v>
      </c>
      <c r="Q2" s="3"/>
      <c r="R2" s="3"/>
      <c r="S2" s="3"/>
      <c r="U2" s="3"/>
      <c r="V2" s="3"/>
      <c r="W2" s="3"/>
      <c r="X2" s="3"/>
      <c r="Y2" s="3">
        <v>0</v>
      </c>
      <c r="Z2" s="36" t="s">
        <v>75</v>
      </c>
      <c r="AA2" s="3" t="s">
        <v>93</v>
      </c>
      <c r="AB2" s="3" t="s">
        <v>96</v>
      </c>
      <c r="AC2" s="3" t="s">
        <v>78</v>
      </c>
      <c r="AD2" s="3" t="s">
        <v>76</v>
      </c>
      <c r="AE2" s="3" t="s">
        <v>102</v>
      </c>
      <c r="AF2" s="3" t="s">
        <v>72</v>
      </c>
      <c r="AG2" s="3" t="s">
        <v>79</v>
      </c>
      <c r="AH2" s="3" t="s">
        <v>77</v>
      </c>
      <c r="AI2" s="3"/>
    </row>
    <row r="3" spans="1:35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9">
        <f t="shared" si="0"/>
        <v>0</v>
      </c>
      <c r="O3" s="5">
        <f t="shared" si="0"/>
        <v>0</v>
      </c>
      <c r="P3" s="4">
        <f t="shared" si="0"/>
        <v>0</v>
      </c>
      <c r="Q3" s="3"/>
      <c r="R3" s="3"/>
      <c r="S3" s="3"/>
      <c r="U3" s="3"/>
      <c r="V3" s="3"/>
      <c r="W3" s="3"/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x14ac:dyDescent="0.25">
      <c r="A4" s="3">
        <v>2</v>
      </c>
      <c r="B4" s="3">
        <v>2</v>
      </c>
      <c r="C4" s="9" t="str">
        <f t="shared" ref="C4:I18" si="1">D3</f>
        <v>X</v>
      </c>
      <c r="D4" s="7" t="str">
        <f t="shared" si="1"/>
        <v>X</v>
      </c>
      <c r="E4" s="5" t="str">
        <f t="shared" si="1"/>
        <v>X</v>
      </c>
      <c r="F4" s="4" t="str">
        <f t="shared" si="1"/>
        <v>X</v>
      </c>
      <c r="G4" s="9" t="str">
        <f t="shared" si="1"/>
        <v>X</v>
      </c>
      <c r="H4" s="7" t="str">
        <f t="shared" si="1"/>
        <v>X</v>
      </c>
      <c r="I4" s="5">
        <f>J3</f>
        <v>1</v>
      </c>
      <c r="J4" s="4">
        <v>2</v>
      </c>
      <c r="K4" s="9"/>
      <c r="L4" s="5"/>
      <c r="M4" s="4"/>
      <c r="N4" s="9">
        <f t="shared" si="0"/>
        <v>0</v>
      </c>
      <c r="O4" s="5">
        <f t="shared" si="0"/>
        <v>0</v>
      </c>
      <c r="P4" s="4">
        <f t="shared" si="0"/>
        <v>0</v>
      </c>
      <c r="Q4" s="3"/>
      <c r="R4" s="3"/>
      <c r="S4" s="3"/>
      <c r="U4" s="3"/>
      <c r="V4" s="3"/>
      <c r="W4" s="3"/>
      <c r="X4" s="3"/>
      <c r="Y4" s="3">
        <v>2</v>
      </c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x14ac:dyDescent="0.25">
      <c r="A5" s="3">
        <v>3</v>
      </c>
      <c r="B5" s="3">
        <v>3</v>
      </c>
      <c r="C5" s="9" t="str">
        <f t="shared" si="1"/>
        <v>X</v>
      </c>
      <c r="D5" s="7" t="str">
        <f t="shared" si="1"/>
        <v>X</v>
      </c>
      <c r="E5" s="5" t="str">
        <f t="shared" si="1"/>
        <v>X</v>
      </c>
      <c r="F5" s="4" t="str">
        <f t="shared" si="1"/>
        <v>X</v>
      </c>
      <c r="G5" s="9" t="str">
        <f t="shared" si="1"/>
        <v>X</v>
      </c>
      <c r="H5" s="7">
        <f t="shared" si="1"/>
        <v>1</v>
      </c>
      <c r="I5" s="5">
        <f t="shared" si="1"/>
        <v>2</v>
      </c>
      <c r="J5" s="4">
        <v>3</v>
      </c>
      <c r="K5" s="9"/>
      <c r="L5" s="5"/>
      <c r="M5" s="4"/>
      <c r="N5" s="9">
        <f t="shared" si="0"/>
        <v>0</v>
      </c>
      <c r="O5" s="5">
        <f t="shared" si="0"/>
        <v>0</v>
      </c>
      <c r="P5" s="4">
        <f t="shared" si="0"/>
        <v>0</v>
      </c>
      <c r="Q5" s="3"/>
      <c r="R5" s="3"/>
      <c r="S5" s="3"/>
      <c r="U5" s="3"/>
      <c r="V5" s="3"/>
      <c r="W5" s="3"/>
      <c r="X5" s="3"/>
      <c r="Y5" s="3">
        <v>3</v>
      </c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x14ac:dyDescent="0.25">
      <c r="A6" s="3">
        <v>4</v>
      </c>
      <c r="B6" s="3">
        <v>4</v>
      </c>
      <c r="C6" s="9" t="str">
        <f t="shared" si="1"/>
        <v>X</v>
      </c>
      <c r="D6" s="7" t="str">
        <f t="shared" si="1"/>
        <v>X</v>
      </c>
      <c r="E6" s="5" t="str">
        <f t="shared" si="1"/>
        <v>X</v>
      </c>
      <c r="F6" s="4" t="str">
        <f t="shared" si="1"/>
        <v>X</v>
      </c>
      <c r="G6" s="9">
        <f t="shared" si="1"/>
        <v>1</v>
      </c>
      <c r="H6" s="7">
        <f t="shared" si="1"/>
        <v>2</v>
      </c>
      <c r="I6" s="5">
        <f t="shared" si="1"/>
        <v>3</v>
      </c>
      <c r="J6" s="4">
        <v>4</v>
      </c>
      <c r="K6" s="9"/>
      <c r="L6" s="5"/>
      <c r="M6" s="4"/>
      <c r="N6" s="9">
        <f t="shared" si="0"/>
        <v>0</v>
      </c>
      <c r="O6" s="5">
        <f t="shared" si="0"/>
        <v>0</v>
      </c>
      <c r="P6" s="4">
        <f t="shared" si="0"/>
        <v>0</v>
      </c>
      <c r="Q6" s="3"/>
      <c r="R6" s="3"/>
      <c r="S6" s="3"/>
      <c r="U6" s="3"/>
      <c r="V6" s="3"/>
      <c r="W6" s="3"/>
      <c r="X6" s="3"/>
      <c r="Y6" s="3">
        <v>4</v>
      </c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x14ac:dyDescent="0.25">
      <c r="A7" s="3">
        <v>5</v>
      </c>
      <c r="B7" s="3">
        <v>5</v>
      </c>
      <c r="C7" s="9" t="str">
        <f t="shared" si="1"/>
        <v>X</v>
      </c>
      <c r="D7" s="7" t="str">
        <f t="shared" si="1"/>
        <v>X</v>
      </c>
      <c r="E7" s="5" t="str">
        <f t="shared" si="1"/>
        <v>X</v>
      </c>
      <c r="F7" s="4">
        <f t="shared" si="1"/>
        <v>1</v>
      </c>
      <c r="G7" s="9">
        <f t="shared" si="1"/>
        <v>2</v>
      </c>
      <c r="H7" s="7">
        <f t="shared" si="1"/>
        <v>3</v>
      </c>
      <c r="I7" s="5">
        <f t="shared" si="1"/>
        <v>4</v>
      </c>
      <c r="J7" s="4">
        <v>5</v>
      </c>
      <c r="K7" s="9"/>
      <c r="L7" s="5"/>
      <c r="M7" s="4"/>
      <c r="N7" s="9">
        <f t="shared" si="0"/>
        <v>0</v>
      </c>
      <c r="O7" s="5">
        <f t="shared" si="0"/>
        <v>0</v>
      </c>
      <c r="P7" s="4">
        <f t="shared" si="0"/>
        <v>0</v>
      </c>
      <c r="Q7" s="3"/>
      <c r="R7" s="3"/>
      <c r="S7" s="3"/>
      <c r="U7" s="3"/>
      <c r="V7" s="3"/>
      <c r="W7" s="3"/>
      <c r="X7" s="3"/>
      <c r="Y7" s="3">
        <v>5</v>
      </c>
      <c r="Z7" s="3"/>
      <c r="AB7" s="3"/>
      <c r="AC7" s="3"/>
      <c r="AD7" s="3"/>
      <c r="AE7" s="3"/>
      <c r="AF7" s="3"/>
      <c r="AG7" s="3"/>
      <c r="AH7" s="3"/>
      <c r="AI7" s="3"/>
    </row>
    <row r="8" spans="1:35" x14ac:dyDescent="0.25">
      <c r="A8" s="3">
        <v>6</v>
      </c>
      <c r="B8" s="3">
        <v>6</v>
      </c>
      <c r="C8" s="9" t="str">
        <f t="shared" si="1"/>
        <v>X</v>
      </c>
      <c r="D8" s="7" t="str">
        <f t="shared" si="1"/>
        <v>X</v>
      </c>
      <c r="E8" s="5">
        <f t="shared" si="1"/>
        <v>1</v>
      </c>
      <c r="F8" s="4">
        <f t="shared" si="1"/>
        <v>2</v>
      </c>
      <c r="G8" s="9">
        <f t="shared" si="1"/>
        <v>3</v>
      </c>
      <c r="H8" s="7">
        <f t="shared" si="1"/>
        <v>4</v>
      </c>
      <c r="I8" s="5">
        <f t="shared" si="1"/>
        <v>5</v>
      </c>
      <c r="J8" s="4">
        <v>6</v>
      </c>
      <c r="K8" s="9"/>
      <c r="L8" s="5"/>
      <c r="M8" s="4"/>
      <c r="N8" s="9">
        <f t="shared" si="0"/>
        <v>0</v>
      </c>
      <c r="O8" s="5">
        <f t="shared" si="0"/>
        <v>0</v>
      </c>
      <c r="P8" s="4">
        <f t="shared" si="0"/>
        <v>0</v>
      </c>
      <c r="Q8" s="3"/>
      <c r="R8" s="3"/>
      <c r="S8" s="3"/>
      <c r="U8" s="3"/>
      <c r="V8" s="3"/>
      <c r="W8" s="3"/>
      <c r="X8" s="3"/>
      <c r="Y8" s="3">
        <v>6</v>
      </c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6.5" thickBot="1" x14ac:dyDescent="0.3">
      <c r="A9" s="3">
        <v>7</v>
      </c>
      <c r="B9" s="3">
        <v>7</v>
      </c>
      <c r="C9" s="9" t="str">
        <f t="shared" si="1"/>
        <v>X</v>
      </c>
      <c r="D9" s="7">
        <f t="shared" si="1"/>
        <v>1</v>
      </c>
      <c r="E9" s="5">
        <f t="shared" si="1"/>
        <v>2</v>
      </c>
      <c r="F9" s="4">
        <f t="shared" si="1"/>
        <v>3</v>
      </c>
      <c r="G9" s="9">
        <f t="shared" si="1"/>
        <v>4</v>
      </c>
      <c r="H9" s="7">
        <f t="shared" si="1"/>
        <v>5</v>
      </c>
      <c r="I9" s="5">
        <f t="shared" si="1"/>
        <v>6</v>
      </c>
      <c r="J9" s="4">
        <v>7</v>
      </c>
      <c r="K9" s="9"/>
      <c r="L9" s="5"/>
      <c r="M9" s="4"/>
      <c r="N9" s="9">
        <f t="shared" si="0"/>
        <v>0</v>
      </c>
      <c r="O9" s="5">
        <f t="shared" si="0"/>
        <v>0</v>
      </c>
      <c r="P9" s="4">
        <f t="shared" si="0"/>
        <v>0</v>
      </c>
      <c r="Q9" s="3"/>
      <c r="R9" s="3"/>
      <c r="S9" s="3"/>
      <c r="U9" s="3"/>
      <c r="V9" s="3"/>
      <c r="W9" s="3"/>
      <c r="X9" s="3"/>
      <c r="Y9" s="3">
        <v>7</v>
      </c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6.5" thickBot="1" x14ac:dyDescent="0.3">
      <c r="A10" s="3">
        <v>8</v>
      </c>
      <c r="B10" s="11">
        <v>8</v>
      </c>
      <c r="C10" s="12">
        <f t="shared" si="1"/>
        <v>1</v>
      </c>
      <c r="D10" s="13">
        <f t="shared" si="1"/>
        <v>2</v>
      </c>
      <c r="E10" s="14">
        <f t="shared" si="1"/>
        <v>3</v>
      </c>
      <c r="F10" s="15">
        <f t="shared" si="1"/>
        <v>4</v>
      </c>
      <c r="G10" s="12">
        <f t="shared" si="1"/>
        <v>5</v>
      </c>
      <c r="H10" s="13">
        <f t="shared" si="1"/>
        <v>6</v>
      </c>
      <c r="I10" s="14">
        <f t="shared" si="1"/>
        <v>7</v>
      </c>
      <c r="J10" s="4">
        <v>8</v>
      </c>
      <c r="K10" s="9" t="str">
        <f>C10 &amp; "," &amp; D10 &amp; CHAR(10) &amp; G10 &amp; "," &amp; H10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9" t="str">
        <f t="shared" si="0"/>
        <v>1,2
5,6</v>
      </c>
      <c r="O10" s="5" t="str">
        <f t="shared" si="0"/>
        <v>1,3
5,7</v>
      </c>
      <c r="P10" s="4" t="str">
        <f t="shared" si="0"/>
        <v>1,4
5,8</v>
      </c>
      <c r="Q10" s="3"/>
      <c r="R10" s="3"/>
      <c r="S10" s="3"/>
      <c r="U10" s="3"/>
      <c r="V10" s="3"/>
      <c r="W10" s="3"/>
      <c r="X10" s="3"/>
      <c r="Y10" s="3">
        <v>8</v>
      </c>
      <c r="Z10" s="3"/>
      <c r="AA10" s="3"/>
      <c r="AB10" s="3"/>
      <c r="AC10" s="3"/>
      <c r="AD10" s="3"/>
      <c r="AE10" s="3"/>
      <c r="AF10" s="3"/>
      <c r="AG10" s="3"/>
      <c r="AH10" s="3"/>
      <c r="AI10" s="27" t="s">
        <v>32</v>
      </c>
    </row>
    <row r="11" spans="1:35" x14ac:dyDescent="0.25">
      <c r="A11" s="3">
        <v>9</v>
      </c>
      <c r="B11" s="3">
        <v>9</v>
      </c>
      <c r="C11" s="9">
        <f t="shared" si="1"/>
        <v>2</v>
      </c>
      <c r="D11" s="7">
        <f t="shared" si="1"/>
        <v>3</v>
      </c>
      <c r="E11" s="5">
        <f t="shared" si="1"/>
        <v>4</v>
      </c>
      <c r="F11" s="4">
        <f t="shared" si="1"/>
        <v>5</v>
      </c>
      <c r="G11" s="9">
        <f t="shared" si="1"/>
        <v>6</v>
      </c>
      <c r="H11" s="7">
        <f t="shared" si="1"/>
        <v>7</v>
      </c>
      <c r="I11" s="5">
        <f t="shared" si="1"/>
        <v>8</v>
      </c>
      <c r="J11" s="4">
        <v>9</v>
      </c>
      <c r="K11" s="9" t="str">
        <f t="shared" ref="K11:K20" si="2">C11 &amp; "," &amp; D11 &amp; CHAR(10) &amp; G11 &amp; "," &amp; H11</f>
        <v>2,3
6,7</v>
      </c>
      <c r="L11" s="5" t="str">
        <f t="shared" ref="L11:L15" si="3">C11 &amp; "," &amp; E11 &amp; CHAR(10) &amp; G11 &amp; "," &amp; I11</f>
        <v>2,4
6,8</v>
      </c>
      <c r="M11" s="4"/>
      <c r="N11" s="9" t="str">
        <f t="shared" si="0"/>
        <v>2,3
6,7</v>
      </c>
      <c r="O11" s="5" t="str">
        <f t="shared" si="0"/>
        <v>2,4
6,8</v>
      </c>
      <c r="P11" s="4">
        <f t="shared" si="0"/>
        <v>0</v>
      </c>
      <c r="Q11" s="3"/>
      <c r="R11" s="3"/>
      <c r="S11" s="3"/>
      <c r="U11" s="3"/>
      <c r="V11" s="3"/>
      <c r="W11" s="3"/>
      <c r="X11" s="3"/>
      <c r="Y11" s="3">
        <v>9</v>
      </c>
      <c r="AA11" s="29" t="str">
        <f>P10</f>
        <v>1,4
5,8</v>
      </c>
      <c r="AB11" s="3"/>
      <c r="AC11" s="3"/>
      <c r="AD11" s="3" t="str">
        <f>N10</f>
        <v>1,2
5,6</v>
      </c>
      <c r="AE11" s="3"/>
      <c r="AF11" s="3"/>
      <c r="AG11" s="3"/>
      <c r="AH11" s="3" t="str">
        <f>O10</f>
        <v>1,3
5,7</v>
      </c>
      <c r="AI11" s="27" t="s">
        <v>31</v>
      </c>
    </row>
    <row r="12" spans="1:35" x14ac:dyDescent="0.25">
      <c r="A12" s="3">
        <v>10</v>
      </c>
      <c r="B12" s="3">
        <v>10</v>
      </c>
      <c r="C12" s="9">
        <f t="shared" si="1"/>
        <v>3</v>
      </c>
      <c r="D12" s="7">
        <f t="shared" si="1"/>
        <v>4</v>
      </c>
      <c r="E12" s="5">
        <f t="shared" si="1"/>
        <v>5</v>
      </c>
      <c r="F12" s="4">
        <f t="shared" si="1"/>
        <v>6</v>
      </c>
      <c r="G12" s="9">
        <f t="shared" si="1"/>
        <v>7</v>
      </c>
      <c r="H12" s="7">
        <f t="shared" si="1"/>
        <v>8</v>
      </c>
      <c r="I12" s="5">
        <f t="shared" si="1"/>
        <v>9</v>
      </c>
      <c r="J12" s="4">
        <v>10</v>
      </c>
      <c r="K12" s="9" t="str">
        <f t="shared" si="2"/>
        <v>3,4
7,8</v>
      </c>
      <c r="L12" s="5"/>
      <c r="M12" s="4"/>
      <c r="N12" s="9" t="str">
        <f t="shared" si="0"/>
        <v>3,4
7,8</v>
      </c>
      <c r="O12" s="5">
        <f t="shared" si="0"/>
        <v>0</v>
      </c>
      <c r="P12" s="4">
        <f t="shared" si="0"/>
        <v>0</v>
      </c>
      <c r="Q12" s="30" t="s">
        <v>86</v>
      </c>
      <c r="R12" s="3"/>
      <c r="X12" s="3" t="s">
        <v>0</v>
      </c>
      <c r="Y12" s="3">
        <v>10</v>
      </c>
      <c r="AB12" s="3">
        <f>AC11</f>
        <v>0</v>
      </c>
      <c r="AC12" s="3" t="str">
        <f>AD11</f>
        <v>1,2
5,6</v>
      </c>
      <c r="AD12" s="3" t="str">
        <f>N11</f>
        <v>2,3
6,7</v>
      </c>
      <c r="AE12" s="3"/>
      <c r="AF12" s="3">
        <f>AG11</f>
        <v>0</v>
      </c>
      <c r="AG12" s="3" t="str">
        <f>AH11</f>
        <v>1,3
5,7</v>
      </c>
      <c r="AH12" s="3" t="str">
        <f>O11</f>
        <v>2,4
6,8</v>
      </c>
      <c r="AI12" s="27" t="s">
        <v>30</v>
      </c>
    </row>
    <row r="13" spans="1:35" x14ac:dyDescent="0.25">
      <c r="A13" s="3">
        <v>11</v>
      </c>
      <c r="B13" s="3">
        <v>11</v>
      </c>
      <c r="C13" s="9">
        <f t="shared" si="1"/>
        <v>4</v>
      </c>
      <c r="D13" s="7">
        <f t="shared" si="1"/>
        <v>5</v>
      </c>
      <c r="E13" s="5">
        <f t="shared" si="1"/>
        <v>6</v>
      </c>
      <c r="F13" s="4">
        <f t="shared" si="1"/>
        <v>7</v>
      </c>
      <c r="G13" s="9">
        <f t="shared" si="1"/>
        <v>8</v>
      </c>
      <c r="H13" s="7">
        <f t="shared" si="1"/>
        <v>9</v>
      </c>
      <c r="I13" s="5">
        <f t="shared" si="1"/>
        <v>10</v>
      </c>
      <c r="J13" s="4">
        <v>11</v>
      </c>
      <c r="K13" s="9" t="s">
        <v>0</v>
      </c>
      <c r="L13" s="5"/>
      <c r="M13" s="4"/>
      <c r="N13" s="9" t="s">
        <v>0</v>
      </c>
      <c r="O13" s="5">
        <f t="shared" si="0"/>
        <v>0</v>
      </c>
      <c r="P13" s="4">
        <f t="shared" si="0"/>
        <v>0</v>
      </c>
      <c r="Q13" s="31" t="s">
        <v>85</v>
      </c>
      <c r="R13" s="30" t="str">
        <f t="shared" ref="R13:R20" si="4">Q12</f>
        <v>9(2367)+11(1256)</v>
      </c>
      <c r="S13" s="53" t="s">
        <v>38</v>
      </c>
      <c r="U13" s="54"/>
      <c r="X13" s="3"/>
      <c r="Y13" s="3">
        <v>11</v>
      </c>
      <c r="AB13" s="9" t="str">
        <f>AC12</f>
        <v>1,2
5,6</v>
      </c>
      <c r="AC13" s="9" t="str">
        <f>AD12</f>
        <v>2,3
6,7</v>
      </c>
      <c r="AD13" s="9" t="str">
        <f>N12</f>
        <v>3,4
7,8</v>
      </c>
      <c r="AE13" s="3"/>
      <c r="AF13" s="3">
        <f t="shared" ref="AF13:AH14" si="5">AF12</f>
        <v>0</v>
      </c>
      <c r="AG13" s="3" t="str">
        <f t="shared" si="5"/>
        <v>1,3
5,7</v>
      </c>
      <c r="AH13" s="3" t="str">
        <f t="shared" si="5"/>
        <v>2,4
6,8</v>
      </c>
      <c r="AI13" s="3" t="s">
        <v>29</v>
      </c>
    </row>
    <row r="14" spans="1:35" x14ac:dyDescent="0.25">
      <c r="A14" s="3">
        <v>12</v>
      </c>
      <c r="B14" s="3">
        <v>12</v>
      </c>
      <c r="C14" s="9">
        <f t="shared" si="1"/>
        <v>5</v>
      </c>
      <c r="D14" s="7">
        <f t="shared" si="1"/>
        <v>6</v>
      </c>
      <c r="E14" s="5">
        <f t="shared" si="1"/>
        <v>7</v>
      </c>
      <c r="F14" s="4">
        <f t="shared" si="1"/>
        <v>8</v>
      </c>
      <c r="G14" s="9">
        <f t="shared" si="1"/>
        <v>9</v>
      </c>
      <c r="H14" s="7">
        <f t="shared" si="1"/>
        <v>10</v>
      </c>
      <c r="I14" s="5">
        <f t="shared" si="1"/>
        <v>11</v>
      </c>
      <c r="J14" s="4">
        <v>12</v>
      </c>
      <c r="K14" s="9" t="str">
        <f t="shared" si="2"/>
        <v>5,6
9,10</v>
      </c>
      <c r="L14" s="5" t="str">
        <f t="shared" si="3"/>
        <v>5,7
9,11</v>
      </c>
      <c r="M14" s="4"/>
      <c r="N14" s="9" t="str">
        <f>K14</f>
        <v>5,6
9,10</v>
      </c>
      <c r="O14" s="5" t="str">
        <f t="shared" si="0"/>
        <v>5,7
9,11</v>
      </c>
      <c r="P14" s="4">
        <f t="shared" si="0"/>
        <v>0</v>
      </c>
      <c r="Q14" s="9" t="s">
        <v>87</v>
      </c>
      <c r="R14" s="31" t="str">
        <f t="shared" si="4"/>
        <v>-10*(1357)</v>
      </c>
      <c r="S14" s="49" t="s">
        <v>60</v>
      </c>
      <c r="T14" s="55" t="str">
        <f t="shared" ref="T14:U21" si="6">R13</f>
        <v>9(2367)+11(1256)</v>
      </c>
      <c r="U14" s="55" t="str">
        <f t="shared" si="6"/>
        <v>10(3478)-11(2468)</v>
      </c>
      <c r="X14" s="3"/>
      <c r="Y14" s="3">
        <v>12</v>
      </c>
      <c r="Z14" s="3"/>
      <c r="AA14" s="3"/>
      <c r="AB14" s="3"/>
      <c r="AC14" s="3"/>
      <c r="AD14" s="3"/>
      <c r="AE14" s="3"/>
      <c r="AF14" s="3">
        <f t="shared" si="5"/>
        <v>0</v>
      </c>
      <c r="AG14" s="3" t="str">
        <f t="shared" si="5"/>
        <v>1,3
5,7</v>
      </c>
      <c r="AH14" s="3" t="str">
        <f t="shared" si="5"/>
        <v>2,4
6,8</v>
      </c>
      <c r="AI14" s="27" t="s">
        <v>28</v>
      </c>
    </row>
    <row r="15" spans="1:35" x14ac:dyDescent="0.25">
      <c r="A15" s="3">
        <v>13</v>
      </c>
      <c r="B15" s="3">
        <v>13</v>
      </c>
      <c r="C15" s="9">
        <f t="shared" si="1"/>
        <v>6</v>
      </c>
      <c r="D15" s="7">
        <f t="shared" si="1"/>
        <v>7</v>
      </c>
      <c r="E15" s="5">
        <f t="shared" si="1"/>
        <v>8</v>
      </c>
      <c r="F15" s="4">
        <f t="shared" si="1"/>
        <v>9</v>
      </c>
      <c r="G15" s="9">
        <f t="shared" si="1"/>
        <v>10</v>
      </c>
      <c r="H15" s="7">
        <f t="shared" si="1"/>
        <v>11</v>
      </c>
      <c r="I15" s="5">
        <f t="shared" si="1"/>
        <v>12</v>
      </c>
      <c r="J15" s="4">
        <v>13</v>
      </c>
      <c r="K15" s="9" t="str">
        <f t="shared" si="2"/>
        <v>6,7
10,11</v>
      </c>
      <c r="L15" s="5" t="str">
        <f t="shared" si="3"/>
        <v>6,8
10,12</v>
      </c>
      <c r="M15" s="4"/>
      <c r="N15" s="9" t="str">
        <f>K15</f>
        <v>6,7
10,11</v>
      </c>
      <c r="O15" s="5" t="str">
        <f t="shared" si="0"/>
        <v>6,8
10,12</v>
      </c>
      <c r="P15" s="4">
        <f t="shared" si="0"/>
        <v>0</v>
      </c>
      <c r="Q15" s="34" t="s">
        <v>88</v>
      </c>
      <c r="R15" s="9" t="str">
        <f t="shared" si="4"/>
        <v>9(2468)+12(1256)</v>
      </c>
      <c r="S15" s="45" t="s">
        <v>51</v>
      </c>
      <c r="T15" s="55" t="str">
        <f t="shared" si="6"/>
        <v>-10*(1357)</v>
      </c>
      <c r="U15" s="55" t="str">
        <f t="shared" si="6"/>
        <v>+12(2367)</v>
      </c>
      <c r="V15" s="35" t="s">
        <v>106</v>
      </c>
      <c r="W15" s="4" t="s">
        <v>66</v>
      </c>
      <c r="X15" s="3"/>
      <c r="Y15" s="3">
        <v>13</v>
      </c>
      <c r="Z15" s="3"/>
      <c r="AA15" s="3"/>
      <c r="AB15" s="3"/>
      <c r="AC15" s="3"/>
      <c r="AD15" s="3"/>
      <c r="AE15" s="3"/>
      <c r="AF15" s="3" t="str">
        <f>AG14</f>
        <v>1,3
5,7</v>
      </c>
      <c r="AG15" s="3" t="str">
        <f>AH14</f>
        <v>2,4
6,8</v>
      </c>
      <c r="AH15" s="3" t="str">
        <f>O14</f>
        <v>5,7
9,11</v>
      </c>
      <c r="AI15" s="27" t="s">
        <v>27</v>
      </c>
    </row>
    <row r="16" spans="1:35" x14ac:dyDescent="0.25">
      <c r="A16" s="3">
        <v>14</v>
      </c>
      <c r="B16" s="3">
        <v>14</v>
      </c>
      <c r="C16" s="9">
        <f t="shared" si="1"/>
        <v>7</v>
      </c>
      <c r="D16" s="7">
        <f t="shared" si="1"/>
        <v>8</v>
      </c>
      <c r="E16" s="5">
        <f t="shared" si="1"/>
        <v>9</v>
      </c>
      <c r="F16" s="4">
        <f t="shared" si="1"/>
        <v>10</v>
      </c>
      <c r="G16" s="9">
        <f t="shared" si="1"/>
        <v>11</v>
      </c>
      <c r="H16" s="7">
        <f t="shared" si="1"/>
        <v>12</v>
      </c>
      <c r="I16" s="5">
        <f t="shared" si="1"/>
        <v>13</v>
      </c>
      <c r="J16" s="4">
        <v>14</v>
      </c>
      <c r="K16" s="9" t="str">
        <f t="shared" si="2"/>
        <v>7,8
11,12</v>
      </c>
      <c r="L16" s="5"/>
      <c r="M16" s="4"/>
      <c r="N16" s="9" t="str">
        <f>K16</f>
        <v>7,8
11,12</v>
      </c>
      <c r="O16" s="5">
        <f t="shared" si="0"/>
        <v>0</v>
      </c>
      <c r="P16" s="4">
        <f t="shared" si="0"/>
        <v>0</v>
      </c>
      <c r="Q16" s="4" t="s">
        <v>89</v>
      </c>
      <c r="R16" s="34" t="str">
        <f t="shared" si="4"/>
        <v>-10(1458)</v>
      </c>
      <c r="S16" s="46" t="s">
        <v>95</v>
      </c>
      <c r="T16" s="55" t="str">
        <f t="shared" si="6"/>
        <v>9(2468)+12(1256)</v>
      </c>
      <c r="U16" s="55" t="str">
        <f t="shared" si="6"/>
        <v>9(3478)-11(1458)</v>
      </c>
      <c r="V16" s="35" t="s">
        <v>64</v>
      </c>
      <c r="W16" s="35" t="s">
        <v>67</v>
      </c>
      <c r="X16" s="3"/>
      <c r="Y16" s="3">
        <v>14</v>
      </c>
      <c r="Z16" s="3"/>
      <c r="AA16" s="3"/>
      <c r="AB16" s="3"/>
      <c r="AC16" s="3"/>
      <c r="AD16" s="3"/>
      <c r="AE16" s="28" t="str">
        <f>AF15</f>
        <v>1,3
5,7</v>
      </c>
      <c r="AF16" s="28" t="str">
        <f>AG15</f>
        <v>2,4
6,8</v>
      </c>
      <c r="AG16" s="28" t="str">
        <f>AH15</f>
        <v>5,7
9,11</v>
      </c>
      <c r="AH16" s="28" t="str">
        <f>O15</f>
        <v>6,8
10,12</v>
      </c>
      <c r="AI16" s="27" t="s">
        <v>26</v>
      </c>
    </row>
    <row r="17" spans="1:36" x14ac:dyDescent="0.25">
      <c r="A17" s="3">
        <v>15</v>
      </c>
      <c r="B17" s="3">
        <v>15</v>
      </c>
      <c r="C17" s="9">
        <f t="shared" si="1"/>
        <v>8</v>
      </c>
      <c r="D17" s="7">
        <f t="shared" si="1"/>
        <v>9</v>
      </c>
      <c r="E17" s="5">
        <f t="shared" si="1"/>
        <v>10</v>
      </c>
      <c r="F17" s="4">
        <f t="shared" si="1"/>
        <v>11</v>
      </c>
      <c r="G17" s="9">
        <f t="shared" si="1"/>
        <v>12</v>
      </c>
      <c r="H17" s="7">
        <f t="shared" si="1"/>
        <v>13</v>
      </c>
      <c r="I17" s="5">
        <f t="shared" si="1"/>
        <v>14</v>
      </c>
      <c r="J17" s="4">
        <v>15</v>
      </c>
      <c r="K17" s="9" t="s">
        <v>0</v>
      </c>
      <c r="L17" s="5"/>
      <c r="M17" s="4"/>
      <c r="N17" s="9" t="s">
        <v>0</v>
      </c>
      <c r="O17" s="5">
        <f t="shared" ref="O17:P23" si="7">L17</f>
        <v>0</v>
      </c>
      <c r="P17" s="4">
        <f t="shared" si="7"/>
        <v>0</v>
      </c>
      <c r="Q17" s="38" t="s">
        <v>90</v>
      </c>
      <c r="R17" s="4" t="str">
        <f t="shared" si="4"/>
        <v>9(3478)+12(1357)</v>
      </c>
      <c r="S17" s="37" t="s">
        <v>50</v>
      </c>
      <c r="T17" s="55" t="str">
        <f t="shared" si="6"/>
        <v>-10(1458)</v>
      </c>
      <c r="U17" s="55" t="str">
        <f t="shared" si="6"/>
        <v>+12(1357)</v>
      </c>
      <c r="V17" s="4" t="s">
        <v>105</v>
      </c>
      <c r="W17" s="35" t="s">
        <v>67</v>
      </c>
      <c r="X17" s="3"/>
      <c r="Y17" s="3">
        <v>15</v>
      </c>
      <c r="Z17" s="3"/>
      <c r="AA17" s="3"/>
      <c r="AB17" s="3"/>
      <c r="AC17" s="3"/>
      <c r="AD17" s="3"/>
      <c r="AE17" s="3"/>
      <c r="AF17" s="3"/>
      <c r="AG17" s="3"/>
      <c r="AH17" s="3"/>
      <c r="AI17" s="3" t="s">
        <v>25</v>
      </c>
    </row>
    <row r="18" spans="1:36" x14ac:dyDescent="0.25">
      <c r="A18" s="3">
        <v>16</v>
      </c>
      <c r="B18" s="3">
        <v>16</v>
      </c>
      <c r="C18" s="9">
        <f t="shared" si="1"/>
        <v>9</v>
      </c>
      <c r="D18" s="7">
        <f t="shared" si="1"/>
        <v>10</v>
      </c>
      <c r="E18" s="5">
        <f t="shared" si="1"/>
        <v>11</v>
      </c>
      <c r="F18" s="4">
        <f t="shared" si="1"/>
        <v>12</v>
      </c>
      <c r="G18" s="9">
        <f t="shared" si="1"/>
        <v>13</v>
      </c>
      <c r="H18" s="7">
        <f t="shared" si="1"/>
        <v>14</v>
      </c>
      <c r="I18" s="5">
        <f t="shared" si="1"/>
        <v>15</v>
      </c>
      <c r="J18" s="4">
        <v>16</v>
      </c>
      <c r="K18" s="9" t="str">
        <f t="shared" si="2"/>
        <v>9,10
13,14</v>
      </c>
      <c r="L18" s="5"/>
      <c r="M18" s="4"/>
      <c r="N18" s="9" t="s">
        <v>0</v>
      </c>
      <c r="O18" s="5">
        <f t="shared" si="7"/>
        <v>0</v>
      </c>
      <c r="P18" s="4">
        <f t="shared" si="7"/>
        <v>0</v>
      </c>
      <c r="Q18" s="32" t="s">
        <v>91</v>
      </c>
      <c r="R18" s="4" t="str">
        <f t="shared" si="4"/>
        <v>-11(1458)</v>
      </c>
      <c r="S18" s="43" t="s">
        <v>58</v>
      </c>
      <c r="T18" s="55" t="str">
        <f t="shared" si="6"/>
        <v>9(3478)+12(1357)</v>
      </c>
      <c r="U18" s="55" t="str">
        <f t="shared" si="6"/>
        <v>9(2468)-10(1458)</v>
      </c>
      <c r="V18" s="4" t="s">
        <v>62</v>
      </c>
      <c r="W18" s="4" t="s">
        <v>66</v>
      </c>
      <c r="X18" s="3"/>
      <c r="Y18" s="3">
        <v>16</v>
      </c>
      <c r="Z18" s="3"/>
      <c r="AA18" s="3"/>
      <c r="AB18" s="3"/>
      <c r="AC18" s="3"/>
      <c r="AD18" s="3"/>
      <c r="AE18" s="3"/>
      <c r="AF18" s="3"/>
      <c r="AG18" s="3"/>
      <c r="AH18" s="3"/>
      <c r="AI18" s="27" t="s">
        <v>24</v>
      </c>
    </row>
    <row r="19" spans="1:36" x14ac:dyDescent="0.25">
      <c r="A19" s="3">
        <v>17</v>
      </c>
      <c r="B19" s="3"/>
      <c r="C19" s="9">
        <f t="shared" ref="C19:J19" si="8">C18</f>
        <v>9</v>
      </c>
      <c r="D19" s="7">
        <f t="shared" si="8"/>
        <v>10</v>
      </c>
      <c r="E19" s="5">
        <f t="shared" si="8"/>
        <v>11</v>
      </c>
      <c r="F19" s="4">
        <f t="shared" si="8"/>
        <v>12</v>
      </c>
      <c r="G19" s="9">
        <f t="shared" si="8"/>
        <v>13</v>
      </c>
      <c r="H19" s="7">
        <f t="shared" si="8"/>
        <v>14</v>
      </c>
      <c r="I19" s="5">
        <f t="shared" si="8"/>
        <v>15</v>
      </c>
      <c r="J19" s="4">
        <f t="shared" si="8"/>
        <v>16</v>
      </c>
      <c r="K19" s="9" t="str">
        <f t="shared" si="2"/>
        <v>9,10
13,14</v>
      </c>
      <c r="L19" s="5"/>
      <c r="M19" s="4"/>
      <c r="N19" s="9" t="s">
        <v>0</v>
      </c>
      <c r="O19" s="5">
        <f t="shared" si="7"/>
        <v>0</v>
      </c>
      <c r="P19" s="4">
        <f t="shared" si="7"/>
        <v>0</v>
      </c>
      <c r="Q19" s="33" t="s">
        <v>92</v>
      </c>
      <c r="R19" s="32" t="str">
        <f t="shared" si="4"/>
        <v>10(3478)+12(2367)</v>
      </c>
      <c r="S19" s="39" t="s">
        <v>94</v>
      </c>
      <c r="T19" s="55" t="str">
        <f t="shared" si="6"/>
        <v>-11(1458)</v>
      </c>
      <c r="U19" s="55" t="str">
        <f t="shared" si="6"/>
        <v>+12(1256)</v>
      </c>
      <c r="V19" s="9" t="s">
        <v>104</v>
      </c>
      <c r="W19" s="4" t="s">
        <v>66</v>
      </c>
      <c r="X19" s="3"/>
      <c r="Y19" s="3">
        <v>17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27"/>
    </row>
    <row r="20" spans="1:36" x14ac:dyDescent="0.25">
      <c r="A20" s="3">
        <v>18</v>
      </c>
      <c r="B20" s="3"/>
      <c r="C20" s="9">
        <f t="shared" ref="C20:C23" si="9">C19</f>
        <v>9</v>
      </c>
      <c r="D20" s="7">
        <f t="shared" ref="D20:D23" si="10">D19</f>
        <v>10</v>
      </c>
      <c r="E20" s="5">
        <f t="shared" ref="E20:E23" si="11">E19</f>
        <v>11</v>
      </c>
      <c r="F20" s="4">
        <f t="shared" ref="F20:F23" si="12">F19</f>
        <v>12</v>
      </c>
      <c r="G20" s="9">
        <f t="shared" ref="G20:G23" si="13">G19</f>
        <v>13</v>
      </c>
      <c r="H20" s="7">
        <f t="shared" ref="H20:H23" si="14">H19</f>
        <v>14</v>
      </c>
      <c r="I20" s="5">
        <f t="shared" ref="I20:J23" si="15">I19</f>
        <v>15</v>
      </c>
      <c r="J20" s="4">
        <f t="shared" si="15"/>
        <v>16</v>
      </c>
      <c r="K20" s="9" t="str">
        <f t="shared" si="2"/>
        <v>9,10
13,14</v>
      </c>
      <c r="L20" s="5"/>
      <c r="M20" s="4"/>
      <c r="N20" s="9" t="s">
        <v>0</v>
      </c>
      <c r="O20" s="5">
        <f t="shared" si="7"/>
        <v>0</v>
      </c>
      <c r="P20" s="4">
        <f t="shared" si="7"/>
        <v>0</v>
      </c>
      <c r="Q20" s="32"/>
      <c r="R20" s="35" t="str">
        <f t="shared" si="4"/>
        <v>-11(2468)</v>
      </c>
      <c r="S20" s="41" t="s">
        <v>57</v>
      </c>
      <c r="T20" s="55" t="str">
        <f t="shared" si="6"/>
        <v>10(3478)+12(2367)</v>
      </c>
      <c r="U20" s="55" t="str">
        <f t="shared" si="6"/>
        <v>9(2367)-10*(1357)</v>
      </c>
      <c r="V20" s="9" t="s">
        <v>61</v>
      </c>
      <c r="W20" s="9" t="s">
        <v>65</v>
      </c>
      <c r="X20" s="3"/>
      <c r="Y20" s="3">
        <v>18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5">
      <c r="A21" s="3">
        <v>19</v>
      </c>
      <c r="B21" s="3"/>
      <c r="C21" s="9">
        <f t="shared" si="9"/>
        <v>9</v>
      </c>
      <c r="D21" s="7">
        <f t="shared" si="10"/>
        <v>10</v>
      </c>
      <c r="E21" s="5">
        <f t="shared" si="11"/>
        <v>11</v>
      </c>
      <c r="F21" s="4">
        <f t="shared" si="12"/>
        <v>12</v>
      </c>
      <c r="G21" s="9">
        <f t="shared" si="13"/>
        <v>13</v>
      </c>
      <c r="H21" s="7">
        <f t="shared" si="14"/>
        <v>14</v>
      </c>
      <c r="I21" s="5">
        <f t="shared" si="15"/>
        <v>15</v>
      </c>
      <c r="J21" s="4">
        <f t="shared" si="15"/>
        <v>16</v>
      </c>
      <c r="K21" s="9"/>
      <c r="L21" s="5"/>
      <c r="M21" s="4"/>
      <c r="N21" s="9">
        <f t="shared" ref="N21:N23" si="16">K21</f>
        <v>0</v>
      </c>
      <c r="O21" s="5">
        <f t="shared" si="7"/>
        <v>0</v>
      </c>
      <c r="P21" s="4">
        <f t="shared" si="7"/>
        <v>0</v>
      </c>
      <c r="Q21" s="32"/>
      <c r="R21" s="4"/>
      <c r="S21" s="56"/>
      <c r="T21" s="57" t="str">
        <f t="shared" si="6"/>
        <v>-11(2468)</v>
      </c>
      <c r="U21" s="57" t="str">
        <f t="shared" si="6"/>
        <v>+11(1256)</v>
      </c>
      <c r="V21" s="31" t="s">
        <v>103</v>
      </c>
      <c r="W21" s="9" t="s">
        <v>65</v>
      </c>
      <c r="X21" s="3" t="s">
        <v>70</v>
      </c>
      <c r="Y21" s="3">
        <v>19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5">
      <c r="A22" s="3">
        <v>20</v>
      </c>
      <c r="B22" s="3"/>
      <c r="C22" s="9">
        <f t="shared" si="9"/>
        <v>9</v>
      </c>
      <c r="D22" s="7">
        <f t="shared" si="10"/>
        <v>10</v>
      </c>
      <c r="E22" s="5">
        <f t="shared" si="11"/>
        <v>11</v>
      </c>
      <c r="F22" s="4">
        <f t="shared" si="12"/>
        <v>12</v>
      </c>
      <c r="G22" s="9">
        <f t="shared" si="13"/>
        <v>13</v>
      </c>
      <c r="H22" s="7">
        <f t="shared" si="14"/>
        <v>14</v>
      </c>
      <c r="I22" s="5">
        <f t="shared" si="15"/>
        <v>15</v>
      </c>
      <c r="J22" s="4">
        <f t="shared" ref="J22:J23" si="17">J21</f>
        <v>16</v>
      </c>
      <c r="K22" s="9"/>
      <c r="L22" s="5"/>
      <c r="M22" s="4"/>
      <c r="N22" s="9">
        <f t="shared" si="16"/>
        <v>0</v>
      </c>
      <c r="O22" s="5">
        <f t="shared" si="7"/>
        <v>0</v>
      </c>
      <c r="P22" s="4">
        <f t="shared" si="7"/>
        <v>0</v>
      </c>
      <c r="Q22" s="32"/>
      <c r="R22" s="4"/>
      <c r="V22" s="31" t="s">
        <v>63</v>
      </c>
      <c r="W22" s="31" t="str">
        <f>V21</f>
        <v>o_end 16</v>
      </c>
      <c r="X22" s="3"/>
      <c r="Y22" s="3">
        <v>20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5">
      <c r="A23" s="3">
        <v>21</v>
      </c>
      <c r="B23" s="3"/>
      <c r="C23" s="9">
        <f t="shared" si="9"/>
        <v>9</v>
      </c>
      <c r="D23" s="7">
        <f t="shared" si="10"/>
        <v>10</v>
      </c>
      <c r="E23" s="5">
        <f t="shared" si="11"/>
        <v>11</v>
      </c>
      <c r="F23" s="4">
        <f t="shared" si="12"/>
        <v>12</v>
      </c>
      <c r="G23" s="9">
        <f t="shared" si="13"/>
        <v>13</v>
      </c>
      <c r="H23" s="7">
        <f t="shared" si="14"/>
        <v>14</v>
      </c>
      <c r="I23" s="5">
        <f t="shared" si="15"/>
        <v>15</v>
      </c>
      <c r="J23" s="4">
        <f t="shared" si="17"/>
        <v>16</v>
      </c>
      <c r="K23" s="9"/>
      <c r="L23" s="5"/>
      <c r="M23" s="4"/>
      <c r="N23" s="9">
        <f t="shared" si="16"/>
        <v>0</v>
      </c>
      <c r="O23" s="5">
        <f t="shared" si="7"/>
        <v>0</v>
      </c>
      <c r="P23" s="4">
        <f t="shared" si="7"/>
        <v>0</v>
      </c>
      <c r="Q23" s="30"/>
      <c r="R23" s="3"/>
      <c r="V23" s="9" t="s">
        <v>104</v>
      </c>
      <c r="W23" s="31" t="s">
        <v>63</v>
      </c>
      <c r="X23" s="3"/>
      <c r="Y23" s="3">
        <v>21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9"/>
      <c r="R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59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9"/>
      <c r="R26" s="3"/>
      <c r="S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5">
      <c r="A27" s="3" t="s">
        <v>1</v>
      </c>
      <c r="B27" s="3" t="s">
        <v>2</v>
      </c>
      <c r="C27" s="9" t="s">
        <v>3</v>
      </c>
      <c r="D27" s="7" t="s">
        <v>11</v>
      </c>
      <c r="E27" s="5" t="s">
        <v>4</v>
      </c>
      <c r="F27" s="4" t="s">
        <v>5</v>
      </c>
      <c r="G27" s="9" t="s">
        <v>6</v>
      </c>
      <c r="H27" s="7" t="s">
        <v>7</v>
      </c>
      <c r="I27" s="5" t="s">
        <v>8</v>
      </c>
      <c r="J27" s="4" t="s">
        <v>9</v>
      </c>
      <c r="K27" s="9" t="s">
        <v>12</v>
      </c>
      <c r="L27" s="5"/>
      <c r="M27" s="4"/>
      <c r="N27" s="9" t="str">
        <f t="shared" ref="N27:P35" si="18">K27</f>
        <v>det22_c</v>
      </c>
      <c r="O27" s="5">
        <f t="shared" si="18"/>
        <v>0</v>
      </c>
      <c r="P27" s="4">
        <f t="shared" si="18"/>
        <v>0</v>
      </c>
      <c r="Q27" s="3" t="s">
        <v>35</v>
      </c>
      <c r="R27" s="3"/>
      <c r="S27" s="3"/>
      <c r="U27" s="3" t="s">
        <v>80</v>
      </c>
      <c r="V27" s="3" t="s">
        <v>68</v>
      </c>
      <c r="W27" s="3" t="s">
        <v>69</v>
      </c>
      <c r="X27" s="3"/>
      <c r="Y27" s="3" t="s">
        <v>1</v>
      </c>
      <c r="Z27" s="3" t="e">
        <f>LEFT(#REF!, LEN(#REF!)-2) &amp; "1]"</f>
        <v>#REF!</v>
      </c>
      <c r="AA27" s="3" t="s">
        <v>16</v>
      </c>
      <c r="AB27" s="3" t="s">
        <v>17</v>
      </c>
      <c r="AC27" s="3" t="s">
        <v>14</v>
      </c>
      <c r="AD27" s="3" t="s">
        <v>18</v>
      </c>
      <c r="AE27" s="3" t="s">
        <v>19</v>
      </c>
      <c r="AF27" s="3" t="s">
        <v>20</v>
      </c>
      <c r="AG27" s="3" t="s">
        <v>33</v>
      </c>
      <c r="AH27" s="3" t="s">
        <v>34</v>
      </c>
      <c r="AI27" s="3" t="s">
        <v>23</v>
      </c>
      <c r="AJ27" s="3"/>
    </row>
    <row r="28" spans="1:36" x14ac:dyDescent="0.25">
      <c r="A28" s="3">
        <v>0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18"/>
        <v>0</v>
      </c>
      <c r="O28" s="5">
        <f t="shared" si="18"/>
        <v>0</v>
      </c>
      <c r="P28" s="4">
        <f t="shared" si="18"/>
        <v>0</v>
      </c>
      <c r="Q28" s="3"/>
      <c r="R28" s="3"/>
      <c r="S28" s="3"/>
      <c r="U28" s="3"/>
      <c r="V28" s="3"/>
      <c r="W28" s="3"/>
      <c r="X28" s="3"/>
      <c r="Y28" s="3">
        <v>0</v>
      </c>
      <c r="Z28" s="3" t="s">
        <v>75</v>
      </c>
      <c r="AA28" s="3" t="s">
        <v>93</v>
      </c>
      <c r="AB28" s="3" t="s">
        <v>96</v>
      </c>
      <c r="AC28" s="3" t="s">
        <v>78</v>
      </c>
      <c r="AD28" s="3" t="s">
        <v>76</v>
      </c>
      <c r="AE28" s="3" t="s">
        <v>102</v>
      </c>
      <c r="AF28" s="3" t="s">
        <v>72</v>
      </c>
      <c r="AG28" s="3" t="s">
        <v>79</v>
      </c>
      <c r="AH28" s="3" t="s">
        <v>77</v>
      </c>
      <c r="AI28" s="3"/>
      <c r="AJ28" s="3"/>
    </row>
    <row r="29" spans="1:36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587</v>
      </c>
      <c r="K29" s="9"/>
      <c r="L29" s="5"/>
      <c r="M29" s="4"/>
      <c r="N29" s="9">
        <f t="shared" si="18"/>
        <v>0</v>
      </c>
      <c r="O29" s="5">
        <f t="shared" si="18"/>
        <v>0</v>
      </c>
      <c r="P29" s="4">
        <f t="shared" si="18"/>
        <v>0</v>
      </c>
      <c r="Q29" s="3"/>
      <c r="R29" s="3"/>
      <c r="S29" s="3"/>
      <c r="U29" s="3"/>
      <c r="V29" s="3"/>
      <c r="W29" s="3"/>
      <c r="X29" s="3"/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5">
      <c r="A30" s="3">
        <v>2</v>
      </c>
      <c r="B30" s="3">
        <v>2</v>
      </c>
      <c r="C30" s="9" t="str">
        <f t="shared" ref="C30:I44" si="19">D29</f>
        <v>X</v>
      </c>
      <c r="D30" s="7" t="str">
        <f t="shared" si="19"/>
        <v>X</v>
      </c>
      <c r="E30" s="5" t="str">
        <f t="shared" si="19"/>
        <v>X</v>
      </c>
      <c r="F30" s="4" t="str">
        <f t="shared" si="19"/>
        <v>X</v>
      </c>
      <c r="G30" s="9" t="str">
        <f t="shared" si="19"/>
        <v>X</v>
      </c>
      <c r="H30" s="7" t="str">
        <f t="shared" si="19"/>
        <v>X</v>
      </c>
      <c r="I30" s="5">
        <f>J29</f>
        <v>587</v>
      </c>
      <c r="J30" s="4">
        <v>-412</v>
      </c>
      <c r="K30" s="9"/>
      <c r="L30" s="5"/>
      <c r="M30" s="4"/>
      <c r="N30" s="9">
        <f t="shared" si="18"/>
        <v>0</v>
      </c>
      <c r="O30" s="5">
        <f t="shared" si="18"/>
        <v>0</v>
      </c>
      <c r="P30" s="4">
        <f t="shared" si="18"/>
        <v>0</v>
      </c>
      <c r="Q30" s="3"/>
      <c r="R30" s="3"/>
      <c r="S30" s="3"/>
      <c r="U30" s="3"/>
      <c r="V30" s="3"/>
      <c r="W30" s="3"/>
      <c r="X30" s="3"/>
      <c r="Y30" s="3">
        <v>2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5">
      <c r="A31" s="3">
        <v>3</v>
      </c>
      <c r="B31" s="3">
        <v>3</v>
      </c>
      <c r="C31" s="9" t="str">
        <f t="shared" si="19"/>
        <v>X</v>
      </c>
      <c r="D31" s="7" t="str">
        <f t="shared" si="19"/>
        <v>X</v>
      </c>
      <c r="E31" s="5" t="str">
        <f t="shared" si="19"/>
        <v>X</v>
      </c>
      <c r="F31" s="4" t="str">
        <f t="shared" si="19"/>
        <v>X</v>
      </c>
      <c r="G31" s="9" t="str">
        <f t="shared" si="19"/>
        <v>X</v>
      </c>
      <c r="H31" s="7">
        <f t="shared" si="19"/>
        <v>587</v>
      </c>
      <c r="I31" s="5">
        <f t="shared" si="19"/>
        <v>-412</v>
      </c>
      <c r="J31" s="4">
        <v>501</v>
      </c>
      <c r="K31" s="9"/>
      <c r="L31" s="5"/>
      <c r="M31" s="4"/>
      <c r="N31" s="9">
        <f t="shared" si="18"/>
        <v>0</v>
      </c>
      <c r="O31" s="5">
        <f t="shared" si="18"/>
        <v>0</v>
      </c>
      <c r="P31" s="4">
        <f t="shared" si="18"/>
        <v>0</v>
      </c>
      <c r="Q31" s="3"/>
      <c r="R31" s="3"/>
      <c r="S31" s="3"/>
      <c r="U31" s="3"/>
      <c r="V31" s="3"/>
      <c r="W31" s="3"/>
      <c r="X31" s="3"/>
      <c r="Y31" s="3">
        <v>3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25">
      <c r="A32" s="3">
        <v>4</v>
      </c>
      <c r="B32" s="3">
        <v>4</v>
      </c>
      <c r="C32" s="9" t="str">
        <f t="shared" si="19"/>
        <v>X</v>
      </c>
      <c r="D32" s="7" t="str">
        <f t="shared" si="19"/>
        <v>X</v>
      </c>
      <c r="E32" s="5" t="str">
        <f t="shared" si="19"/>
        <v>X</v>
      </c>
      <c r="F32" s="4" t="str">
        <f t="shared" si="19"/>
        <v>X</v>
      </c>
      <c r="G32" s="9">
        <f t="shared" si="19"/>
        <v>587</v>
      </c>
      <c r="H32" s="7">
        <f t="shared" si="19"/>
        <v>-412</v>
      </c>
      <c r="I32" s="5">
        <f t="shared" si="19"/>
        <v>501</v>
      </c>
      <c r="J32" s="4">
        <v>-321</v>
      </c>
      <c r="K32" s="9"/>
      <c r="L32" s="5"/>
      <c r="M32" s="4"/>
      <c r="N32" s="9">
        <f t="shared" si="18"/>
        <v>0</v>
      </c>
      <c r="O32" s="5">
        <f t="shared" si="18"/>
        <v>0</v>
      </c>
      <c r="P32" s="4">
        <f t="shared" si="18"/>
        <v>0</v>
      </c>
      <c r="Q32" s="3"/>
      <c r="R32" s="3"/>
      <c r="S32" s="3"/>
      <c r="U32" s="3"/>
      <c r="V32" s="3"/>
      <c r="W32" s="3"/>
      <c r="X32" s="3"/>
      <c r="Y32" s="3">
        <v>4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5">
      <c r="A33" s="3">
        <v>5</v>
      </c>
      <c r="B33" s="3">
        <v>5</v>
      </c>
      <c r="C33" s="9" t="str">
        <f t="shared" si="19"/>
        <v>X</v>
      </c>
      <c r="D33" s="7" t="str">
        <f t="shared" si="19"/>
        <v>X</v>
      </c>
      <c r="E33" s="5" t="str">
        <f t="shared" si="19"/>
        <v>X</v>
      </c>
      <c r="F33" s="4">
        <f t="shared" si="19"/>
        <v>587</v>
      </c>
      <c r="G33" s="9">
        <f t="shared" si="19"/>
        <v>-412</v>
      </c>
      <c r="H33" s="7">
        <f t="shared" si="19"/>
        <v>501</v>
      </c>
      <c r="I33" s="5">
        <f t="shared" si="19"/>
        <v>-321</v>
      </c>
      <c r="J33" s="4">
        <v>797</v>
      </c>
      <c r="K33" s="9"/>
      <c r="L33" s="5"/>
      <c r="M33" s="4"/>
      <c r="N33" s="9">
        <f t="shared" si="18"/>
        <v>0</v>
      </c>
      <c r="O33" s="5">
        <f t="shared" si="18"/>
        <v>0</v>
      </c>
      <c r="P33" s="4">
        <f t="shared" si="18"/>
        <v>0</v>
      </c>
      <c r="Q33" s="3"/>
      <c r="R33" s="3"/>
      <c r="S33" s="3"/>
      <c r="U33" s="3"/>
      <c r="V33" s="3"/>
      <c r="W33" s="3"/>
      <c r="X33" s="3"/>
      <c r="Y33" s="3">
        <v>5</v>
      </c>
      <c r="Z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25">
      <c r="A34" s="3">
        <v>6</v>
      </c>
      <c r="B34" s="3">
        <v>6</v>
      </c>
      <c r="C34" s="9" t="str">
        <f t="shared" si="19"/>
        <v>X</v>
      </c>
      <c r="D34" s="7" t="str">
        <f t="shared" si="19"/>
        <v>X</v>
      </c>
      <c r="E34" s="5">
        <f t="shared" si="19"/>
        <v>587</v>
      </c>
      <c r="F34" s="4">
        <f t="shared" si="19"/>
        <v>-412</v>
      </c>
      <c r="G34" s="9">
        <f t="shared" si="19"/>
        <v>501</v>
      </c>
      <c r="H34" s="7">
        <f t="shared" si="19"/>
        <v>-321</v>
      </c>
      <c r="I34" s="5">
        <f t="shared" si="19"/>
        <v>797</v>
      </c>
      <c r="J34" s="4">
        <v>1005</v>
      </c>
      <c r="K34" s="9"/>
      <c r="L34" s="5"/>
      <c r="M34" s="4"/>
      <c r="N34" s="9">
        <f t="shared" si="18"/>
        <v>0</v>
      </c>
      <c r="O34" s="5">
        <f t="shared" si="18"/>
        <v>0</v>
      </c>
      <c r="P34" s="4">
        <f t="shared" si="18"/>
        <v>0</v>
      </c>
      <c r="Q34" s="3"/>
      <c r="R34" s="3"/>
      <c r="S34" s="3"/>
      <c r="U34" s="3"/>
      <c r="V34" s="3"/>
      <c r="W34" s="3"/>
      <c r="X34" s="3"/>
      <c r="Y34" s="3">
        <v>6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16.5" thickBot="1" x14ac:dyDescent="0.3">
      <c r="A35" s="3">
        <v>7</v>
      </c>
      <c r="B35" s="3">
        <v>7</v>
      </c>
      <c r="C35" s="9" t="str">
        <f t="shared" si="19"/>
        <v>X</v>
      </c>
      <c r="D35" s="7">
        <f t="shared" si="19"/>
        <v>587</v>
      </c>
      <c r="E35" s="5">
        <f t="shared" si="19"/>
        <v>-412</v>
      </c>
      <c r="F35" s="4">
        <f t="shared" si="19"/>
        <v>501</v>
      </c>
      <c r="G35" s="9">
        <f t="shared" si="19"/>
        <v>-321</v>
      </c>
      <c r="H35" s="7">
        <f t="shared" si="19"/>
        <v>797</v>
      </c>
      <c r="I35" s="5">
        <f t="shared" si="19"/>
        <v>1005</v>
      </c>
      <c r="J35" s="4">
        <v>-611</v>
      </c>
      <c r="K35" s="9"/>
      <c r="L35" s="5"/>
      <c r="M35" s="4"/>
      <c r="N35" s="9">
        <f t="shared" si="18"/>
        <v>0</v>
      </c>
      <c r="O35" s="5">
        <f t="shared" si="18"/>
        <v>0</v>
      </c>
      <c r="P35" s="4">
        <f t="shared" si="18"/>
        <v>0</v>
      </c>
      <c r="Q35" s="3"/>
      <c r="R35" s="3"/>
      <c r="S35" s="3"/>
      <c r="U35" s="3"/>
      <c r="V35" s="3"/>
      <c r="W35" s="3"/>
      <c r="X35" s="3"/>
      <c r="Y35" s="3">
        <v>7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16.5" thickBot="1" x14ac:dyDescent="0.3">
      <c r="A36" s="3">
        <v>8</v>
      </c>
      <c r="B36" s="11">
        <v>8</v>
      </c>
      <c r="C36" s="12">
        <f t="shared" si="19"/>
        <v>587</v>
      </c>
      <c r="D36" s="13">
        <f t="shared" si="19"/>
        <v>-412</v>
      </c>
      <c r="E36" s="14">
        <f t="shared" si="19"/>
        <v>501</v>
      </c>
      <c r="F36" s="15">
        <f t="shared" si="19"/>
        <v>-321</v>
      </c>
      <c r="G36" s="12">
        <f t="shared" si="19"/>
        <v>797</v>
      </c>
      <c r="H36" s="13">
        <f t="shared" si="19"/>
        <v>1005</v>
      </c>
      <c r="I36" s="14">
        <f t="shared" si="19"/>
        <v>-611</v>
      </c>
      <c r="J36" s="16">
        <v>-196</v>
      </c>
      <c r="K36" s="9" t="str">
        <f>C36 &amp; "," &amp; D36 &amp; CHAR(10) &amp; G36 &amp; "," &amp; H36</f>
        <v>587,-412
797,1005</v>
      </c>
      <c r="L36" s="5" t="str">
        <f>C36 &amp; "," &amp; E36 &amp; CHAR(10) &amp; G36 &amp; "," &amp; I36</f>
        <v>587,501
797,-611</v>
      </c>
      <c r="M36" s="4" t="str">
        <f>C36 &amp; "," &amp; F36 &amp; CHAR(10) &amp; G36 &amp; "," &amp; J36</f>
        <v>587,-321
797,-196</v>
      </c>
      <c r="N36" s="9">
        <f>D56</f>
        <v>918298.99999999988</v>
      </c>
      <c r="O36" s="5">
        <f>N56</f>
        <v>-757954</v>
      </c>
      <c r="P36" s="4">
        <f>T56</f>
        <v>140785</v>
      </c>
      <c r="Q36" s="3"/>
      <c r="R36" s="3"/>
      <c r="S36" s="3"/>
      <c r="U36" s="3"/>
      <c r="V36" s="3"/>
      <c r="W36" s="3"/>
      <c r="X36" s="3"/>
      <c r="Y36" s="3">
        <v>8</v>
      </c>
      <c r="Z36" s="3"/>
      <c r="AA36" s="3"/>
      <c r="AB36" s="3"/>
      <c r="AC36" s="3"/>
      <c r="AD36" s="3"/>
      <c r="AE36" s="3"/>
      <c r="AF36" s="3"/>
      <c r="AG36" s="3"/>
      <c r="AH36" s="3"/>
      <c r="AI36" s="27" t="s">
        <v>32</v>
      </c>
      <c r="AJ36" s="3"/>
    </row>
    <row r="37" spans="1:36" x14ac:dyDescent="0.25">
      <c r="A37" s="3">
        <v>9</v>
      </c>
      <c r="B37" s="3">
        <v>9</v>
      </c>
      <c r="C37" s="9">
        <f t="shared" si="19"/>
        <v>-412</v>
      </c>
      <c r="D37" s="7">
        <f t="shared" si="19"/>
        <v>501</v>
      </c>
      <c r="E37" s="5">
        <f t="shared" si="19"/>
        <v>-321</v>
      </c>
      <c r="F37" s="4">
        <f t="shared" si="19"/>
        <v>797</v>
      </c>
      <c r="G37" s="9">
        <f t="shared" si="19"/>
        <v>1005</v>
      </c>
      <c r="H37" s="7">
        <f t="shared" si="19"/>
        <v>-611</v>
      </c>
      <c r="I37" s="5">
        <f t="shared" si="19"/>
        <v>-196</v>
      </c>
      <c r="J37" s="4">
        <v>719</v>
      </c>
      <c r="K37" s="9" t="str">
        <f t="shared" ref="K37:K46" si="20">C37 &amp; "," &amp; D37 &amp; CHAR(10) &amp; G37 &amp; "," &amp; H37</f>
        <v>-412,501
1005,-611</v>
      </c>
      <c r="L37" s="5" t="str">
        <f t="shared" ref="L37" si="21">C37 &amp; "," &amp; E37 &amp; CHAR(10) &amp; G37 &amp; "," &amp; I37</f>
        <v>-412,-321
1005,-196</v>
      </c>
      <c r="M37" s="4"/>
      <c r="N37" s="9">
        <f>E56</f>
        <v>-251773.00000000003</v>
      </c>
      <c r="O37" s="5">
        <f>O56</f>
        <v>403357</v>
      </c>
      <c r="P37" s="4">
        <f t="shared" ref="P37:P46" si="22">M37</f>
        <v>0</v>
      </c>
      <c r="Q37" s="3"/>
      <c r="R37" s="3"/>
      <c r="S37" s="3"/>
      <c r="U37" s="3"/>
      <c r="V37" s="3"/>
      <c r="W37" s="3"/>
      <c r="X37" s="3"/>
      <c r="Y37" s="3">
        <v>9</v>
      </c>
      <c r="AA37" s="29">
        <f>P36</f>
        <v>140785</v>
      </c>
      <c r="AB37" s="3"/>
      <c r="AC37" s="3"/>
      <c r="AD37" s="3">
        <f>N36</f>
        <v>918298.99999999988</v>
      </c>
      <c r="AE37" s="3"/>
      <c r="AF37" s="3"/>
      <c r="AG37" s="3"/>
      <c r="AH37" s="3">
        <f>O36</f>
        <v>-757954</v>
      </c>
      <c r="AI37" s="27" t="s">
        <v>31</v>
      </c>
      <c r="AJ37" s="3"/>
    </row>
    <row r="38" spans="1:36" x14ac:dyDescent="0.25">
      <c r="A38" s="3">
        <v>10</v>
      </c>
      <c r="B38" s="3">
        <v>10</v>
      </c>
      <c r="C38" s="9">
        <f t="shared" si="19"/>
        <v>501</v>
      </c>
      <c r="D38" s="7">
        <f t="shared" si="19"/>
        <v>-321</v>
      </c>
      <c r="E38" s="5">
        <f t="shared" si="19"/>
        <v>797</v>
      </c>
      <c r="F38" s="4">
        <f t="shared" si="19"/>
        <v>1005</v>
      </c>
      <c r="G38" s="9">
        <f t="shared" si="19"/>
        <v>-611</v>
      </c>
      <c r="H38" s="7">
        <f t="shared" si="19"/>
        <v>-196</v>
      </c>
      <c r="I38" s="5">
        <f t="shared" si="19"/>
        <v>719</v>
      </c>
      <c r="J38" s="4">
        <v>-154</v>
      </c>
      <c r="K38" s="9" t="str">
        <f t="shared" si="20"/>
        <v>501,-321
-611,-196</v>
      </c>
      <c r="L38" s="5"/>
      <c r="M38" s="4"/>
      <c r="N38" s="9">
        <f>F56</f>
        <v>-294327</v>
      </c>
      <c r="O38" s="5">
        <f>L38</f>
        <v>0</v>
      </c>
      <c r="P38" s="4">
        <f t="shared" si="22"/>
        <v>0</v>
      </c>
      <c r="Q38" s="30">
        <f>J36*N37+J38*N36</f>
        <v>-92070537.99999997</v>
      </c>
      <c r="R38" s="3"/>
      <c r="X38" s="3" t="s">
        <v>0</v>
      </c>
      <c r="Y38" s="3">
        <v>10</v>
      </c>
      <c r="AB38" s="3">
        <f>AC37</f>
        <v>0</v>
      </c>
      <c r="AC38" s="3">
        <f>AD37</f>
        <v>918298.99999999988</v>
      </c>
      <c r="AD38" s="3">
        <f>N37</f>
        <v>-251773.00000000003</v>
      </c>
      <c r="AE38" s="3"/>
      <c r="AF38" s="3">
        <f>AG37</f>
        <v>0</v>
      </c>
      <c r="AG38" s="3">
        <f>AH37</f>
        <v>-757954</v>
      </c>
      <c r="AH38" s="3">
        <f>O37</f>
        <v>403357</v>
      </c>
      <c r="AI38" s="27" t="s">
        <v>30</v>
      </c>
      <c r="AJ38" s="3"/>
    </row>
    <row r="39" spans="1:36" x14ac:dyDescent="0.25">
      <c r="A39" s="3">
        <v>11</v>
      </c>
      <c r="B39" s="3">
        <v>11</v>
      </c>
      <c r="C39" s="9">
        <f t="shared" si="19"/>
        <v>-321</v>
      </c>
      <c r="D39" s="7">
        <f t="shared" si="19"/>
        <v>797</v>
      </c>
      <c r="E39" s="5">
        <f t="shared" si="19"/>
        <v>1005</v>
      </c>
      <c r="F39" s="4">
        <f t="shared" si="19"/>
        <v>-611</v>
      </c>
      <c r="G39" s="9">
        <f t="shared" si="19"/>
        <v>-196</v>
      </c>
      <c r="H39" s="7">
        <f t="shared" si="19"/>
        <v>719</v>
      </c>
      <c r="I39" s="5">
        <f t="shared" si="19"/>
        <v>-154</v>
      </c>
      <c r="J39" s="4">
        <v>454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22"/>
        <v>0</v>
      </c>
      <c r="Q39" s="31">
        <f>Q38-J38*O36</f>
        <v>-208795453.99999997</v>
      </c>
      <c r="R39" s="30">
        <f t="shared" ref="R39:R46" si="23">Q38</f>
        <v>-92070537.99999997</v>
      </c>
      <c r="S39" s="32">
        <f>J38*N38-J39*O37</f>
        <v>-137797720</v>
      </c>
      <c r="U39" s="54"/>
      <c r="X39" s="3"/>
      <c r="Y39" s="3">
        <v>11</v>
      </c>
      <c r="AB39" s="9">
        <f>AC38</f>
        <v>918298.99999999988</v>
      </c>
      <c r="AC39" s="9">
        <f>AD38</f>
        <v>-251773.00000000003</v>
      </c>
      <c r="AD39" s="9">
        <f>N38</f>
        <v>-294327</v>
      </c>
      <c r="AE39" s="3"/>
      <c r="AF39" s="3">
        <f t="shared" ref="AF39:AF40" si="24">AF38</f>
        <v>0</v>
      </c>
      <c r="AG39" s="3">
        <f t="shared" ref="AG39:AG40" si="25">AG38</f>
        <v>-757954</v>
      </c>
      <c r="AH39" s="3">
        <f t="shared" ref="AH39:AH40" si="26">AH38</f>
        <v>403357</v>
      </c>
      <c r="AI39" s="3" t="s">
        <v>29</v>
      </c>
      <c r="AJ39" s="3"/>
    </row>
    <row r="40" spans="1:36" x14ac:dyDescent="0.25">
      <c r="A40" s="3">
        <v>12</v>
      </c>
      <c r="B40" s="3">
        <v>12</v>
      </c>
      <c r="C40" s="9">
        <f t="shared" si="19"/>
        <v>797</v>
      </c>
      <c r="D40" s="7">
        <f t="shared" si="19"/>
        <v>1005</v>
      </c>
      <c r="E40" s="5">
        <f t="shared" si="19"/>
        <v>-611</v>
      </c>
      <c r="F40" s="4">
        <f t="shared" si="19"/>
        <v>-196</v>
      </c>
      <c r="G40" s="9">
        <f t="shared" si="19"/>
        <v>719</v>
      </c>
      <c r="H40" s="7">
        <f t="shared" si="19"/>
        <v>-154</v>
      </c>
      <c r="I40" s="5">
        <f t="shared" si="19"/>
        <v>454</v>
      </c>
      <c r="J40" s="4">
        <v>946</v>
      </c>
      <c r="K40" s="9" t="str">
        <f t="shared" si="20"/>
        <v>797,1005
719,-154</v>
      </c>
      <c r="L40" s="5" t="str">
        <f t="shared" ref="L40:L41" si="27">C40 &amp; "," &amp; E40 &amp; CHAR(10) &amp; G40 &amp; "," &amp; I40</f>
        <v>797,-611
719,454</v>
      </c>
      <c r="M40" s="4"/>
      <c r="N40" s="9">
        <f>D57</f>
        <v>-845333</v>
      </c>
      <c r="O40" s="5">
        <f>N57</f>
        <v>801147</v>
      </c>
      <c r="P40" s="4">
        <f t="shared" si="22"/>
        <v>0</v>
      </c>
      <c r="Q40" s="9">
        <f>J37*O37+J40*N36</f>
        <v>1158724537</v>
      </c>
      <c r="R40" s="31">
        <f t="shared" si="23"/>
        <v>-208795453.99999997</v>
      </c>
      <c r="S40" s="33">
        <f>S39+J40*N37</f>
        <v>-375974978</v>
      </c>
      <c r="T40" s="33">
        <f>+J40*N37</f>
        <v>-238177258.00000003</v>
      </c>
      <c r="U40" s="55">
        <f t="shared" ref="U40:U47" si="28">S39</f>
        <v>-137797720</v>
      </c>
      <c r="X40" s="3"/>
      <c r="Y40" s="3">
        <v>12</v>
      </c>
      <c r="Z40" s="3"/>
      <c r="AA40" s="3"/>
      <c r="AB40" s="3"/>
      <c r="AC40" s="3"/>
      <c r="AD40" s="3"/>
      <c r="AE40" s="3"/>
      <c r="AF40" s="3">
        <f t="shared" si="24"/>
        <v>0</v>
      </c>
      <c r="AG40" s="3">
        <f t="shared" si="25"/>
        <v>-757954</v>
      </c>
      <c r="AH40" s="3">
        <f t="shared" si="26"/>
        <v>403357</v>
      </c>
      <c r="AI40" s="27" t="s">
        <v>28</v>
      </c>
      <c r="AJ40" s="3"/>
    </row>
    <row r="41" spans="1:36" x14ac:dyDescent="0.25">
      <c r="A41" s="3">
        <v>13</v>
      </c>
      <c r="B41" s="3">
        <v>13</v>
      </c>
      <c r="C41" s="9">
        <f t="shared" si="19"/>
        <v>1005</v>
      </c>
      <c r="D41" s="7">
        <f t="shared" si="19"/>
        <v>-611</v>
      </c>
      <c r="E41" s="5">
        <f t="shared" si="19"/>
        <v>-196</v>
      </c>
      <c r="F41" s="4">
        <f t="shared" si="19"/>
        <v>719</v>
      </c>
      <c r="G41" s="9">
        <f t="shared" si="19"/>
        <v>-154</v>
      </c>
      <c r="H41" s="7">
        <f t="shared" si="19"/>
        <v>454</v>
      </c>
      <c r="I41" s="5">
        <f t="shared" si="19"/>
        <v>946</v>
      </c>
      <c r="J41" s="4">
        <v>397</v>
      </c>
      <c r="K41" s="9" t="str">
        <f t="shared" si="20"/>
        <v>1005,-611
-154,454</v>
      </c>
      <c r="L41" s="5" t="str">
        <f t="shared" si="27"/>
        <v>1005,-196
-154,946</v>
      </c>
      <c r="M41" s="4"/>
      <c r="N41" s="9">
        <f>E57</f>
        <v>362176</v>
      </c>
      <c r="O41" s="5">
        <f>O57</f>
        <v>920546</v>
      </c>
      <c r="P41" s="4">
        <f t="shared" si="22"/>
        <v>0</v>
      </c>
      <c r="Q41" s="34">
        <f>Q40-J38*P36</f>
        <v>1180405427</v>
      </c>
      <c r="R41" s="9">
        <f t="shared" si="23"/>
        <v>1158724537</v>
      </c>
      <c r="S41" s="4">
        <f>J37*N38-J39*P36</f>
        <v>-275537503</v>
      </c>
      <c r="T41" s="4"/>
      <c r="U41" s="55">
        <f t="shared" si="28"/>
        <v>-375974978</v>
      </c>
      <c r="V41" s="35">
        <f>U41*J41</f>
        <v>-149262066266</v>
      </c>
      <c r="W41" s="4" t="s">
        <v>66</v>
      </c>
      <c r="X41" s="3" t="s">
        <v>110</v>
      </c>
      <c r="Y41" s="3">
        <v>13</v>
      </c>
      <c r="Z41" s="3"/>
      <c r="AA41" s="3"/>
      <c r="AB41" s="3"/>
      <c r="AC41" s="3"/>
      <c r="AD41" s="3"/>
      <c r="AE41" s="3"/>
      <c r="AF41" s="3">
        <f>AG40</f>
        <v>-757954</v>
      </c>
      <c r="AG41" s="3">
        <f>AH40</f>
        <v>403357</v>
      </c>
      <c r="AH41" s="3">
        <f>O40</f>
        <v>801147</v>
      </c>
      <c r="AI41" s="27" t="s">
        <v>27</v>
      </c>
      <c r="AJ41" s="3"/>
    </row>
    <row r="42" spans="1:36" x14ac:dyDescent="0.25">
      <c r="A42" s="3">
        <v>14</v>
      </c>
      <c r="B42" s="3">
        <v>14</v>
      </c>
      <c r="C42" s="9">
        <f t="shared" si="19"/>
        <v>-611</v>
      </c>
      <c r="D42" s="7">
        <f t="shared" si="19"/>
        <v>-196</v>
      </c>
      <c r="E42" s="5">
        <f t="shared" si="19"/>
        <v>719</v>
      </c>
      <c r="F42" s="4">
        <f t="shared" si="19"/>
        <v>-154</v>
      </c>
      <c r="G42" s="9">
        <f t="shared" si="19"/>
        <v>454</v>
      </c>
      <c r="H42" s="7">
        <f t="shared" si="19"/>
        <v>946</v>
      </c>
      <c r="I42" s="5">
        <f t="shared" si="19"/>
        <v>397</v>
      </c>
      <c r="J42" s="4">
        <v>-719</v>
      </c>
      <c r="K42" s="9" t="str">
        <f t="shared" si="20"/>
        <v>-611,-196
454,946</v>
      </c>
      <c r="L42" s="5"/>
      <c r="M42" s="4"/>
      <c r="N42" s="9">
        <f>F57</f>
        <v>-489022</v>
      </c>
      <c r="O42" s="5">
        <f>L42</f>
        <v>0</v>
      </c>
      <c r="P42" s="4">
        <f t="shared" si="22"/>
        <v>0</v>
      </c>
      <c r="Q42" s="4">
        <f>J37*N38+J40*O36</f>
        <v>-928645597</v>
      </c>
      <c r="R42" s="34">
        <f t="shared" si="23"/>
        <v>1180405427</v>
      </c>
      <c r="S42" s="38">
        <f>S41+J40*O36</f>
        <v>-992561987</v>
      </c>
      <c r="T42" s="38">
        <f>+J40*O36</f>
        <v>-717024484</v>
      </c>
      <c r="U42" s="55">
        <f t="shared" si="28"/>
        <v>-275537503</v>
      </c>
      <c r="V42" s="35" t="s">
        <v>64</v>
      </c>
      <c r="W42" s="35">
        <f>0-V41</f>
        <v>149262066266</v>
      </c>
      <c r="X42" s="3"/>
      <c r="Y42" s="3">
        <v>14</v>
      </c>
      <c r="Z42" s="3"/>
      <c r="AA42" s="3"/>
      <c r="AB42" s="3"/>
      <c r="AC42" s="3"/>
      <c r="AD42" s="3"/>
      <c r="AE42" s="28">
        <f>AF41</f>
        <v>-757954</v>
      </c>
      <c r="AF42" s="28">
        <f>AG41</f>
        <v>403357</v>
      </c>
      <c r="AG42" s="28">
        <f>AH41</f>
        <v>801147</v>
      </c>
      <c r="AH42" s="28">
        <f>O41</f>
        <v>920546</v>
      </c>
      <c r="AI42" s="27" t="s">
        <v>26</v>
      </c>
      <c r="AJ42" s="3"/>
    </row>
    <row r="43" spans="1:36" x14ac:dyDescent="0.25">
      <c r="A43" s="3">
        <v>15</v>
      </c>
      <c r="B43" s="3">
        <v>15</v>
      </c>
      <c r="C43" s="9">
        <f t="shared" si="19"/>
        <v>-196</v>
      </c>
      <c r="D43" s="7">
        <f t="shared" si="19"/>
        <v>719</v>
      </c>
      <c r="E43" s="5">
        <f t="shared" si="19"/>
        <v>-154</v>
      </c>
      <c r="F43" s="4">
        <f t="shared" si="19"/>
        <v>454</v>
      </c>
      <c r="G43" s="9">
        <f t="shared" si="19"/>
        <v>946</v>
      </c>
      <c r="H43" s="7">
        <f t="shared" si="19"/>
        <v>397</v>
      </c>
      <c r="I43" s="5">
        <f t="shared" si="19"/>
        <v>-719</v>
      </c>
      <c r="J43" s="4">
        <v>-750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22"/>
        <v>0</v>
      </c>
      <c r="Q43" s="38">
        <f>Q42-J39*P36</f>
        <v>-992561987</v>
      </c>
      <c r="R43" s="4">
        <f t="shared" si="23"/>
        <v>-928645597</v>
      </c>
      <c r="S43" s="9">
        <f>J37*O37-J38*P36</f>
        <v>311694573</v>
      </c>
      <c r="T43" s="9"/>
      <c r="U43" s="55">
        <f t="shared" si="28"/>
        <v>-992561987</v>
      </c>
      <c r="V43" s="4">
        <f>U43*J42</f>
        <v>713652068653</v>
      </c>
      <c r="W43" s="35" t="s">
        <v>67</v>
      </c>
      <c r="X43" s="3" t="s">
        <v>111</v>
      </c>
      <c r="Y43" s="3">
        <v>15</v>
      </c>
      <c r="Z43" s="3"/>
      <c r="AA43" s="3"/>
      <c r="AB43" s="3"/>
      <c r="AC43" s="3"/>
      <c r="AD43" s="3"/>
      <c r="AE43" s="3"/>
      <c r="AF43" s="3"/>
      <c r="AG43" s="3"/>
      <c r="AH43" s="3"/>
      <c r="AI43" s="3" t="s">
        <v>25</v>
      </c>
      <c r="AJ43" s="3"/>
    </row>
    <row r="44" spans="1:36" x14ac:dyDescent="0.25">
      <c r="A44" s="3">
        <v>16</v>
      </c>
      <c r="B44" s="3">
        <v>16</v>
      </c>
      <c r="C44" s="9">
        <f t="shared" si="19"/>
        <v>719</v>
      </c>
      <c r="D44" s="7">
        <f t="shared" si="19"/>
        <v>-154</v>
      </c>
      <c r="E44" s="5">
        <f t="shared" si="19"/>
        <v>454</v>
      </c>
      <c r="F44" s="4">
        <f t="shared" si="19"/>
        <v>946</v>
      </c>
      <c r="G44" s="9">
        <f t="shared" si="19"/>
        <v>397</v>
      </c>
      <c r="H44" s="7">
        <f t="shared" si="19"/>
        <v>-719</v>
      </c>
      <c r="I44" s="5">
        <f t="shared" si="19"/>
        <v>-750</v>
      </c>
      <c r="J44" s="4">
        <v>-346</v>
      </c>
      <c r="K44" s="9" t="str">
        <f t="shared" si="20"/>
        <v>719,-154
397,-719</v>
      </c>
      <c r="L44" s="5"/>
      <c r="M44" s="4"/>
      <c r="N44" s="9">
        <f>D58</f>
        <v>-455823</v>
      </c>
      <c r="O44" s="5">
        <f>L44</f>
        <v>0</v>
      </c>
      <c r="P44" s="4">
        <f t="shared" si="22"/>
        <v>0</v>
      </c>
      <c r="Q44" s="32">
        <f>J38*N38+J40*N37</f>
        <v>-192850900.00000003</v>
      </c>
      <c r="R44" s="4">
        <f t="shared" si="23"/>
        <v>-992561987</v>
      </c>
      <c r="S44" s="34">
        <f>S43+J40*N36</f>
        <v>1180405427</v>
      </c>
      <c r="T44" s="34">
        <f>+J40*N36</f>
        <v>868710853.99999988</v>
      </c>
      <c r="U44" s="55">
        <f t="shared" si="28"/>
        <v>311694573</v>
      </c>
      <c r="V44" s="4" t="s">
        <v>62</v>
      </c>
      <c r="W44" s="4">
        <f>V43+W42</f>
        <v>862914134919</v>
      </c>
      <c r="X44" s="3"/>
      <c r="Y44" s="3">
        <v>16</v>
      </c>
      <c r="Z44" s="3"/>
      <c r="AA44" s="3"/>
      <c r="AB44" s="3"/>
      <c r="AC44" s="3"/>
      <c r="AD44" s="3"/>
      <c r="AE44" s="3"/>
      <c r="AF44" s="3"/>
      <c r="AG44" s="3"/>
      <c r="AH44" s="3"/>
      <c r="AI44" s="27" t="s">
        <v>24</v>
      </c>
      <c r="AJ44" s="3"/>
    </row>
    <row r="45" spans="1:36" x14ac:dyDescent="0.25">
      <c r="A45" s="3">
        <v>17</v>
      </c>
      <c r="B45" s="3" t="s">
        <v>10</v>
      </c>
      <c r="C45" s="9">
        <f t="shared" ref="C45:I45" si="29">C44</f>
        <v>719</v>
      </c>
      <c r="D45" s="7">
        <f t="shared" si="29"/>
        <v>-154</v>
      </c>
      <c r="E45" s="5">
        <f t="shared" si="29"/>
        <v>454</v>
      </c>
      <c r="F45" s="4">
        <f t="shared" si="29"/>
        <v>946</v>
      </c>
      <c r="G45" s="9">
        <f t="shared" si="29"/>
        <v>397</v>
      </c>
      <c r="H45" s="7">
        <f t="shared" si="29"/>
        <v>-719</v>
      </c>
      <c r="I45" s="5">
        <f t="shared" si="29"/>
        <v>-750</v>
      </c>
      <c r="J45" s="4"/>
      <c r="K45" s="9" t="str">
        <f t="shared" si="20"/>
        <v>719,-154
397,-719</v>
      </c>
      <c r="L45" s="5"/>
      <c r="M45" s="4"/>
      <c r="N45" s="9">
        <f>E58</f>
        <v>441926.00000000006</v>
      </c>
      <c r="O45" s="5">
        <f>L45</f>
        <v>0</v>
      </c>
      <c r="P45" s="4">
        <f t="shared" si="22"/>
        <v>0</v>
      </c>
      <c r="Q45" s="33">
        <f>Q44-J39*O37</f>
        <v>-375974978</v>
      </c>
      <c r="R45" s="32">
        <f t="shared" si="23"/>
        <v>-192850900.00000003</v>
      </c>
      <c r="S45" s="30">
        <f>C45*N37-D45*O36</f>
        <v>-297749703</v>
      </c>
      <c r="T45" s="30"/>
      <c r="U45" s="55">
        <f t="shared" si="28"/>
        <v>1180405427</v>
      </c>
      <c r="V45" s="9">
        <f>U45*J43</f>
        <v>-885304070250</v>
      </c>
      <c r="W45" s="4" t="s">
        <v>66</v>
      </c>
      <c r="X45" s="3" t="s">
        <v>110</v>
      </c>
      <c r="Y45" s="3">
        <v>17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25">
      <c r="A46" s="3">
        <v>18</v>
      </c>
      <c r="B46" s="3" t="s">
        <v>10</v>
      </c>
      <c r="C46" s="9">
        <f t="shared" ref="C46:C47" si="30">C45</f>
        <v>719</v>
      </c>
      <c r="D46" s="7">
        <f t="shared" ref="D46:D47" si="31">D45</f>
        <v>-154</v>
      </c>
      <c r="E46" s="5">
        <f t="shared" ref="E46:E47" si="32">E45</f>
        <v>454</v>
      </c>
      <c r="F46" s="4">
        <f t="shared" ref="F46:F47" si="33">F45</f>
        <v>946</v>
      </c>
      <c r="G46" s="9">
        <f t="shared" ref="G46:G47" si="34">G45</f>
        <v>397</v>
      </c>
      <c r="H46" s="7">
        <f t="shared" ref="H46:H47" si="35">H45</f>
        <v>-719</v>
      </c>
      <c r="I46" s="5">
        <f t="shared" ref="I46:I47" si="36">I45</f>
        <v>-750</v>
      </c>
      <c r="J46" s="4"/>
      <c r="K46" s="9" t="str">
        <f t="shared" si="20"/>
        <v>719,-154
397,-719</v>
      </c>
      <c r="L46" s="5"/>
      <c r="M46" s="4"/>
      <c r="N46" s="9">
        <f>F58</f>
        <v>552416</v>
      </c>
      <c r="O46" s="5">
        <f>L46</f>
        <v>0</v>
      </c>
      <c r="P46" s="4">
        <f t="shared" si="22"/>
        <v>0</v>
      </c>
      <c r="Q46" s="32"/>
      <c r="R46" s="35">
        <f t="shared" si="23"/>
        <v>-375974978</v>
      </c>
      <c r="S46" s="31">
        <f>S45+T46</f>
        <v>119158042.99999994</v>
      </c>
      <c r="T46" s="31">
        <f>+E46*N36</f>
        <v>416907745.99999994</v>
      </c>
      <c r="U46" s="55">
        <f t="shared" si="28"/>
        <v>-297749703</v>
      </c>
      <c r="V46" s="9" t="s">
        <v>61</v>
      </c>
      <c r="W46" s="9">
        <f>W44-V45</f>
        <v>1748218205169</v>
      </c>
      <c r="X46" s="3"/>
      <c r="Y46" s="3">
        <v>18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5">
      <c r="A47" s="3">
        <v>19</v>
      </c>
      <c r="B47" s="3"/>
      <c r="C47" s="9">
        <f t="shared" si="30"/>
        <v>719</v>
      </c>
      <c r="D47" s="7">
        <f t="shared" si="31"/>
        <v>-154</v>
      </c>
      <c r="E47" s="5">
        <f t="shared" si="32"/>
        <v>454</v>
      </c>
      <c r="F47" s="4">
        <f t="shared" si="33"/>
        <v>946</v>
      </c>
      <c r="G47" s="9">
        <f t="shared" si="34"/>
        <v>397</v>
      </c>
      <c r="H47" s="7">
        <f t="shared" si="35"/>
        <v>-719</v>
      </c>
      <c r="I47" s="5">
        <f t="shared" si="36"/>
        <v>-750</v>
      </c>
      <c r="J47" s="4"/>
      <c r="K47" s="3"/>
      <c r="L47" s="3"/>
      <c r="M47" s="3"/>
      <c r="N47" s="3"/>
      <c r="O47" s="3"/>
      <c r="P47" s="3"/>
      <c r="Q47" s="32"/>
      <c r="R47" s="4"/>
      <c r="S47" s="56" t="s">
        <v>112</v>
      </c>
      <c r="U47" s="57">
        <f t="shared" si="28"/>
        <v>119158042.99999994</v>
      </c>
      <c r="V47" s="31">
        <f>U47*J44</f>
        <v>-41228682877.999977</v>
      </c>
      <c r="W47" s="9" t="s">
        <v>65</v>
      </c>
      <c r="X47" s="3" t="s">
        <v>111</v>
      </c>
      <c r="Y47" s="3">
        <v>19</v>
      </c>
    </row>
    <row r="48" spans="1:36" x14ac:dyDescent="0.25">
      <c r="A48" s="3">
        <v>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2"/>
      <c r="R48" s="4"/>
      <c r="V48" s="31" t="s">
        <v>63</v>
      </c>
      <c r="W48" s="31">
        <f>W46+V47</f>
        <v>1706989522291</v>
      </c>
      <c r="X48" s="3"/>
      <c r="Y48" s="3">
        <v>20</v>
      </c>
    </row>
    <row r="49" spans="3:24" x14ac:dyDescent="0.25">
      <c r="Q49" s="30"/>
      <c r="R49" s="3"/>
      <c r="V49" s="9"/>
      <c r="W49" s="31" t="s">
        <v>63</v>
      </c>
      <c r="X49" s="3"/>
    </row>
    <row r="50" spans="3:24" x14ac:dyDescent="0.25">
      <c r="Q50" s="59"/>
      <c r="R50" s="3"/>
      <c r="W50" s="3"/>
    </row>
    <row r="51" spans="3:24" x14ac:dyDescent="0.25">
      <c r="C51">
        <f>J29</f>
        <v>587</v>
      </c>
      <c r="D51">
        <f>J30</f>
        <v>-412</v>
      </c>
      <c r="E51">
        <f>J31</f>
        <v>501</v>
      </c>
      <c r="F51">
        <f>J32</f>
        <v>-321</v>
      </c>
      <c r="H51" s="19">
        <f>C51</f>
        <v>587</v>
      </c>
      <c r="I51" s="19">
        <f>E51</f>
        <v>501</v>
      </c>
      <c r="J51" s="19"/>
      <c r="K51" s="19">
        <f>D51</f>
        <v>-412</v>
      </c>
      <c r="L51" s="19">
        <f>F51</f>
        <v>-321</v>
      </c>
      <c r="M51" s="19"/>
      <c r="N51" s="19">
        <f>C52</f>
        <v>797</v>
      </c>
      <c r="O51" s="19">
        <f>E52</f>
        <v>-611</v>
      </c>
      <c r="P51" s="19"/>
      <c r="Q51" s="19">
        <f>D52</f>
        <v>1005</v>
      </c>
      <c r="R51" s="19">
        <f>F52</f>
        <v>-196</v>
      </c>
      <c r="T51" s="18">
        <f>C51</f>
        <v>587</v>
      </c>
      <c r="U51" s="18">
        <f>F51</f>
        <v>-321</v>
      </c>
    </row>
    <row r="52" spans="3:24" x14ac:dyDescent="0.25">
      <c r="C52">
        <f>J33</f>
        <v>797</v>
      </c>
      <c r="D52">
        <f>J34</f>
        <v>1005</v>
      </c>
      <c r="E52">
        <f>J35</f>
        <v>-611</v>
      </c>
      <c r="F52">
        <f>J36</f>
        <v>-196</v>
      </c>
      <c r="H52" s="19">
        <f>C52</f>
        <v>797</v>
      </c>
      <c r="I52" s="19">
        <f>E52</f>
        <v>-611</v>
      </c>
      <c r="J52" s="19"/>
      <c r="K52" s="19">
        <f>D52</f>
        <v>1005</v>
      </c>
      <c r="L52" s="19">
        <f>F52</f>
        <v>-196</v>
      </c>
      <c r="M52" s="19"/>
      <c r="N52" s="19">
        <f>C53</f>
        <v>719</v>
      </c>
      <c r="O52" s="19">
        <f>E53</f>
        <v>454</v>
      </c>
      <c r="P52" s="19"/>
      <c r="Q52" s="19">
        <f>D53</f>
        <v>-154</v>
      </c>
      <c r="R52" s="19">
        <f>F53</f>
        <v>946</v>
      </c>
      <c r="T52" s="18">
        <f>C52</f>
        <v>797</v>
      </c>
      <c r="U52" s="18">
        <f>F52</f>
        <v>-196</v>
      </c>
    </row>
    <row r="53" spans="3:24" x14ac:dyDescent="0.25">
      <c r="C53">
        <f>J37</f>
        <v>719</v>
      </c>
      <c r="D53">
        <f>J38</f>
        <v>-154</v>
      </c>
      <c r="E53">
        <f>J39</f>
        <v>454</v>
      </c>
      <c r="F53">
        <f>J40</f>
        <v>946</v>
      </c>
    </row>
    <row r="54" spans="3:24" x14ac:dyDescent="0.25">
      <c r="C54">
        <f>J41</f>
        <v>397</v>
      </c>
      <c r="D54">
        <f>J42</f>
        <v>-719</v>
      </c>
      <c r="E54">
        <f>J43</f>
        <v>-750</v>
      </c>
      <c r="F54">
        <f>J44</f>
        <v>-346</v>
      </c>
    </row>
    <row r="56" spans="3:24" ht="17.25" x14ac:dyDescent="0.3">
      <c r="C56" t="s">
        <v>107</v>
      </c>
      <c r="D56" s="58">
        <f>MDETERM(C51:D52)</f>
        <v>918298.99999999988</v>
      </c>
      <c r="E56" s="58">
        <f>MDETERM(D51:E52)</f>
        <v>-251773.00000000003</v>
      </c>
      <c r="F56" s="58">
        <f>MDETERM(E51:F52)</f>
        <v>-294327</v>
      </c>
      <c r="G56" s="10">
        <f>D57</f>
        <v>-845333</v>
      </c>
      <c r="H56" s="10">
        <f>E57</f>
        <v>362176</v>
      </c>
      <c r="I56" s="10">
        <f>F57</f>
        <v>-489022</v>
      </c>
      <c r="J56" s="10">
        <f>D58</f>
        <v>-455823</v>
      </c>
      <c r="K56" s="10">
        <f>E58</f>
        <v>441926.00000000006</v>
      </c>
      <c r="L56" s="10">
        <f>F58</f>
        <v>552416</v>
      </c>
      <c r="M56" s="10"/>
      <c r="N56" s="6">
        <f>MDETERM(H51:I52)</f>
        <v>-757954</v>
      </c>
      <c r="O56" s="6">
        <f>MDETERM(K51:L52)</f>
        <v>403357</v>
      </c>
      <c r="P56">
        <f>N57</f>
        <v>801147</v>
      </c>
      <c r="Q56">
        <f>O57</f>
        <v>920546</v>
      </c>
      <c r="T56">
        <f>MDETERM(T51:U52)</f>
        <v>140785</v>
      </c>
    </row>
    <row r="57" spans="3:24" ht="17.25" x14ac:dyDescent="0.3">
      <c r="D57" s="58">
        <f t="shared" ref="D57:F58" si="37">MDETERM(C52:D53)</f>
        <v>-845333</v>
      </c>
      <c r="E57" s="58">
        <f t="shared" si="37"/>
        <v>362176</v>
      </c>
      <c r="F57" s="58">
        <f t="shared" si="37"/>
        <v>-489022</v>
      </c>
      <c r="N57" s="6">
        <f>MDETERM(N51:O52)</f>
        <v>801147</v>
      </c>
      <c r="O57" s="6">
        <f>MDETERM(Q51:R52)</f>
        <v>920546</v>
      </c>
    </row>
    <row r="58" spans="3:24" ht="17.25" x14ac:dyDescent="0.3">
      <c r="D58" s="58">
        <f t="shared" si="37"/>
        <v>-455823</v>
      </c>
      <c r="E58" s="58">
        <f t="shared" si="37"/>
        <v>441926.00000000006</v>
      </c>
      <c r="F58" s="58">
        <f t="shared" si="37"/>
        <v>552416</v>
      </c>
    </row>
    <row r="61" spans="3:24" ht="17.25" x14ac:dyDescent="0.3">
      <c r="C61" t="s">
        <v>108</v>
      </c>
      <c r="D61">
        <f>MDETERM(C51:E53)</f>
        <v>119158042.99999987</v>
      </c>
      <c r="E61">
        <f>MDETERM(D51:F53)</f>
        <v>-375974978</v>
      </c>
      <c r="F61">
        <f>D62</f>
        <v>1353808315</v>
      </c>
      <c r="G61">
        <f>E62</f>
        <v>916703422</v>
      </c>
      <c r="I61" s="60">
        <f>MDETERM({3,6,1;1,1,0;3,10,2})</f>
        <v>0.99999999999999978</v>
      </c>
    </row>
    <row r="62" spans="3:24" x14ac:dyDescent="0.25">
      <c r="D62">
        <f>MDETERM(C52:E54)</f>
        <v>1353808315</v>
      </c>
      <c r="E62">
        <f>MDETERM(D52:F54)</f>
        <v>916703422</v>
      </c>
    </row>
    <row r="65" spans="3:11" x14ac:dyDescent="0.25">
      <c r="C65" t="s">
        <v>109</v>
      </c>
      <c r="D65">
        <f>MDETERM(C51:F54)</f>
        <v>1706989522290.9995</v>
      </c>
    </row>
    <row r="77" spans="3:11" x14ac:dyDescent="0.25">
      <c r="J77" s="4">
        <v>587</v>
      </c>
      <c r="K77" s="4">
        <v>1</v>
      </c>
    </row>
    <row r="78" spans="3:11" x14ac:dyDescent="0.25">
      <c r="J78" s="4">
        <v>-412</v>
      </c>
      <c r="K78" s="4">
        <v>2</v>
      </c>
    </row>
    <row r="79" spans="3:11" x14ac:dyDescent="0.25">
      <c r="J79" s="4">
        <v>501</v>
      </c>
      <c r="K79" s="4">
        <v>4</v>
      </c>
    </row>
    <row r="80" spans="3:11" x14ac:dyDescent="0.25">
      <c r="J80" s="4">
        <v>-321</v>
      </c>
      <c r="K80" s="4">
        <v>8</v>
      </c>
    </row>
    <row r="81" spans="10:11" x14ac:dyDescent="0.25">
      <c r="J81" s="4">
        <v>797</v>
      </c>
      <c r="K81" s="4">
        <v>10</v>
      </c>
    </row>
    <row r="82" spans="10:11" x14ac:dyDescent="0.25">
      <c r="J82" s="4">
        <v>1005</v>
      </c>
      <c r="K82" s="4">
        <v>20</v>
      </c>
    </row>
    <row r="83" spans="10:11" ht="16.5" thickBot="1" x14ac:dyDescent="0.3">
      <c r="J83" s="4">
        <v>-611</v>
      </c>
      <c r="K83" s="4">
        <v>30</v>
      </c>
    </row>
    <row r="84" spans="10:11" ht="16.5" thickBot="1" x14ac:dyDescent="0.3">
      <c r="J84" s="16">
        <v>-196</v>
      </c>
      <c r="K84" s="16">
        <v>40</v>
      </c>
    </row>
    <row r="85" spans="10:11" x14ac:dyDescent="0.25">
      <c r="J85" s="4">
        <v>719</v>
      </c>
      <c r="K85" s="4">
        <v>5</v>
      </c>
    </row>
    <row r="86" spans="10:11" x14ac:dyDescent="0.25">
      <c r="J86" s="4">
        <v>-154</v>
      </c>
      <c r="K86" s="4">
        <v>10</v>
      </c>
    </row>
    <row r="87" spans="10:11" x14ac:dyDescent="0.25">
      <c r="J87" s="4">
        <v>454</v>
      </c>
      <c r="K87" s="4">
        <v>20</v>
      </c>
    </row>
    <row r="88" spans="10:11" x14ac:dyDescent="0.25">
      <c r="J88" s="4">
        <v>946</v>
      </c>
      <c r="K88" s="4">
        <v>10</v>
      </c>
    </row>
    <row r="89" spans="10:11" x14ac:dyDescent="0.25">
      <c r="J89" s="4">
        <v>397</v>
      </c>
      <c r="K89" s="4">
        <v>1</v>
      </c>
    </row>
    <row r="90" spans="10:11" x14ac:dyDescent="0.25">
      <c r="J90" s="4">
        <v>-719</v>
      </c>
      <c r="K90" s="4">
        <v>1</v>
      </c>
    </row>
    <row r="91" spans="10:11" x14ac:dyDescent="0.25">
      <c r="J91" s="4">
        <v>-750</v>
      </c>
      <c r="K91" s="4">
        <v>1</v>
      </c>
    </row>
    <row r="92" spans="10:11" x14ac:dyDescent="0.25">
      <c r="J92" s="4">
        <v>-346</v>
      </c>
      <c r="K92" s="4">
        <v>1</v>
      </c>
    </row>
    <row r="93" spans="10:11" x14ac:dyDescent="0.25">
      <c r="J93" s="4">
        <f>J92</f>
        <v>-346</v>
      </c>
    </row>
    <row r="94" spans="10:11" x14ac:dyDescent="0.25">
      <c r="J94" s="4">
        <f t="shared" ref="J94:J95" si="38">J93</f>
        <v>-346</v>
      </c>
    </row>
    <row r="95" spans="10:11" x14ac:dyDescent="0.25">
      <c r="J95" s="4">
        <f t="shared" si="38"/>
        <v>-346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94F6-E6A3-449E-A942-4896F53B2E0F}">
  <dimension ref="A1:G39"/>
  <sheetViews>
    <sheetView tabSelected="1" workbookViewId="0">
      <selection activeCell="B27" sqref="B27"/>
    </sheetView>
  </sheetViews>
  <sheetFormatPr defaultRowHeight="15.75" x14ac:dyDescent="0.25"/>
  <cols>
    <col min="1" max="1" width="3.7109375" style="3" bestFit="1" customWidth="1"/>
    <col min="2" max="2" width="9.140625" style="3"/>
    <col min="3" max="3" width="13" style="3" bestFit="1" customWidth="1"/>
    <col min="4" max="4" width="11.7109375" style="3" bestFit="1" customWidth="1"/>
    <col min="5" max="5" width="8.7109375" style="3" bestFit="1" customWidth="1"/>
    <col min="6" max="6" width="11" style="3" bestFit="1" customWidth="1"/>
    <col min="7" max="7" width="13.5703125" style="3" bestFit="1" customWidth="1"/>
    <col min="8" max="16384" width="9.140625" style="3"/>
  </cols>
  <sheetData>
    <row r="1" spans="1:7" x14ac:dyDescent="0.25">
      <c r="B1" s="3" t="s">
        <v>115</v>
      </c>
      <c r="C1" s="3" t="s">
        <v>114</v>
      </c>
      <c r="D1" s="3" t="s">
        <v>116</v>
      </c>
      <c r="E1" s="3" t="s">
        <v>117</v>
      </c>
      <c r="F1" s="3" t="s">
        <v>119</v>
      </c>
      <c r="G1" s="3" t="s">
        <v>118</v>
      </c>
    </row>
    <row r="2" spans="1:7" x14ac:dyDescent="0.25">
      <c r="A2" s="3" t="s">
        <v>113</v>
      </c>
      <c r="B2" s="3">
        <v>20</v>
      </c>
      <c r="C2" s="3">
        <v>167445.53350600001</v>
      </c>
      <c r="D2" s="3">
        <v>30028</v>
      </c>
      <c r="E2" s="3">
        <v>10000</v>
      </c>
      <c r="F2" s="3">
        <f>D2/E2</f>
        <v>3.0028000000000001</v>
      </c>
      <c r="G2" s="3">
        <f>C2*C2*B2*F2</f>
        <v>1683850529841.2405</v>
      </c>
    </row>
    <row r="3" spans="1:7" x14ac:dyDescent="0.25">
      <c r="B3" s="3">
        <v>10</v>
      </c>
      <c r="C3" s="3">
        <v>178422.955606</v>
      </c>
      <c r="D3" s="3">
        <v>30028</v>
      </c>
      <c r="E3" s="3">
        <v>10000</v>
      </c>
      <c r="F3" s="3">
        <f t="shared" ref="F3:F13" si="0">D3/E3</f>
        <v>3.0028000000000001</v>
      </c>
      <c r="G3" s="3">
        <f t="shared" ref="G3:G39" si="1">C3*C3*B3*F3</f>
        <v>955933905645.86072</v>
      </c>
    </row>
    <row r="4" spans="1:7" x14ac:dyDescent="0.25">
      <c r="D4" s="3">
        <v>30028</v>
      </c>
      <c r="E4" s="3">
        <v>10000</v>
      </c>
      <c r="F4" s="3">
        <f t="shared" si="0"/>
        <v>3.0028000000000001</v>
      </c>
      <c r="G4" s="3">
        <f>C7*C7*B7*F4</f>
        <v>1005921857288.1315</v>
      </c>
    </row>
    <row r="5" spans="1:7" x14ac:dyDescent="0.25">
      <c r="B5" s="3">
        <v>8</v>
      </c>
      <c r="C5" s="3">
        <v>191828.34822799999</v>
      </c>
      <c r="D5" s="3">
        <v>30028</v>
      </c>
      <c r="E5" s="3">
        <v>10000</v>
      </c>
      <c r="F5" s="3">
        <f t="shared" si="0"/>
        <v>3.0028000000000001</v>
      </c>
      <c r="G5" s="3">
        <f>C5*C5*B5*F5</f>
        <v>883979042193.30688</v>
      </c>
    </row>
    <row r="6" spans="1:7" x14ac:dyDescent="0.25">
      <c r="B6" s="3">
        <v>7.5</v>
      </c>
      <c r="C6" s="3">
        <v>196812.40419199999</v>
      </c>
      <c r="D6" s="3">
        <v>30028</v>
      </c>
      <c r="E6" s="3">
        <v>10000</v>
      </c>
      <c r="F6" s="3">
        <f t="shared" si="0"/>
        <v>3.0028000000000001</v>
      </c>
      <c r="G6" s="3">
        <f t="shared" si="1"/>
        <v>872353692557.61194</v>
      </c>
    </row>
    <row r="7" spans="1:7" x14ac:dyDescent="0.25">
      <c r="B7" s="3">
        <v>7</v>
      </c>
      <c r="C7" s="3">
        <v>218760.999434</v>
      </c>
      <c r="D7" s="3">
        <v>30028</v>
      </c>
      <c r="E7" s="3">
        <v>10000</v>
      </c>
      <c r="F7" s="3">
        <f t="shared" si="0"/>
        <v>3.0028000000000001</v>
      </c>
      <c r="G7" s="3">
        <f t="shared" si="1"/>
        <v>1005921857288.1315</v>
      </c>
    </row>
    <row r="9" spans="1:7" x14ac:dyDescent="0.25">
      <c r="D9" s="3">
        <v>30028</v>
      </c>
      <c r="E9" s="3">
        <v>10000</v>
      </c>
      <c r="F9" s="3">
        <f t="shared" si="0"/>
        <v>3.0028000000000001</v>
      </c>
      <c r="G9" s="3">
        <f t="shared" si="1"/>
        <v>0</v>
      </c>
    </row>
    <row r="10" spans="1:7" x14ac:dyDescent="0.25">
      <c r="D10" s="3">
        <v>30028</v>
      </c>
      <c r="E10" s="3">
        <v>10000</v>
      </c>
      <c r="F10" s="3">
        <f t="shared" si="0"/>
        <v>3.0028000000000001</v>
      </c>
      <c r="G10" s="3">
        <f t="shared" si="1"/>
        <v>0</v>
      </c>
    </row>
    <row r="11" spans="1:7" x14ac:dyDescent="0.25">
      <c r="D11" s="3">
        <v>30028</v>
      </c>
      <c r="E11" s="3">
        <v>10000</v>
      </c>
      <c r="F11" s="3">
        <f t="shared" si="0"/>
        <v>3.0028000000000001</v>
      </c>
      <c r="G11" s="3">
        <f t="shared" si="1"/>
        <v>0</v>
      </c>
    </row>
    <row r="12" spans="1:7" x14ac:dyDescent="0.25">
      <c r="D12" s="3">
        <v>30028</v>
      </c>
      <c r="E12" s="3">
        <v>10000</v>
      </c>
      <c r="F12" s="3">
        <f t="shared" si="0"/>
        <v>3.0028000000000001</v>
      </c>
      <c r="G12" s="3">
        <f t="shared" si="1"/>
        <v>0</v>
      </c>
    </row>
    <row r="13" spans="1:7" x14ac:dyDescent="0.25">
      <c r="D13" s="3">
        <v>30028</v>
      </c>
      <c r="E13" s="3">
        <v>10000</v>
      </c>
      <c r="F13" s="3">
        <f t="shared" si="0"/>
        <v>3.0028000000000001</v>
      </c>
      <c r="G13" s="3">
        <f t="shared" si="1"/>
        <v>0</v>
      </c>
    </row>
    <row r="14" spans="1:7" x14ac:dyDescent="0.25">
      <c r="G14" s="3">
        <f t="shared" si="1"/>
        <v>0</v>
      </c>
    </row>
    <row r="15" spans="1:7" x14ac:dyDescent="0.25">
      <c r="G15" s="3">
        <f t="shared" si="1"/>
        <v>0</v>
      </c>
    </row>
    <row r="16" spans="1:7" x14ac:dyDescent="0.25">
      <c r="G16" s="3">
        <f t="shared" si="1"/>
        <v>0</v>
      </c>
    </row>
    <row r="17" spans="1:7" x14ac:dyDescent="0.25">
      <c r="G17" s="3">
        <f t="shared" si="1"/>
        <v>0</v>
      </c>
    </row>
    <row r="18" spans="1:7" x14ac:dyDescent="0.25">
      <c r="G18" s="3">
        <f t="shared" si="1"/>
        <v>0</v>
      </c>
    </row>
    <row r="19" spans="1:7" x14ac:dyDescent="0.25">
      <c r="G19" s="3">
        <f t="shared" si="1"/>
        <v>0</v>
      </c>
    </row>
    <row r="20" spans="1:7" x14ac:dyDescent="0.25">
      <c r="A20" s="3" t="s">
        <v>130</v>
      </c>
      <c r="B20" s="3">
        <v>7.5</v>
      </c>
      <c r="C20" s="3">
        <v>211964.55935600001</v>
      </c>
      <c r="D20" s="3">
        <v>23240</v>
      </c>
      <c r="E20" s="3">
        <v>10000</v>
      </c>
      <c r="F20" s="3">
        <f t="shared" ref="F20:F38" si="2">D20/E20</f>
        <v>2.3239999999999998</v>
      </c>
      <c r="G20" s="3">
        <f t="shared" si="1"/>
        <v>783112024192.59802</v>
      </c>
    </row>
    <row r="21" spans="1:7" x14ac:dyDescent="0.25">
      <c r="D21" s="3">
        <v>23240</v>
      </c>
      <c r="E21" s="3">
        <v>10000</v>
      </c>
      <c r="F21" s="3">
        <f t="shared" si="2"/>
        <v>2.3239999999999998</v>
      </c>
      <c r="G21" s="3">
        <f t="shared" si="1"/>
        <v>0</v>
      </c>
    </row>
    <row r="22" spans="1:7" x14ac:dyDescent="0.25">
      <c r="D22" s="3">
        <v>23240</v>
      </c>
      <c r="E22" s="3">
        <v>10000</v>
      </c>
      <c r="F22" s="3">
        <f t="shared" si="2"/>
        <v>2.3239999999999998</v>
      </c>
      <c r="G22" s="3">
        <f t="shared" si="1"/>
        <v>0</v>
      </c>
    </row>
    <row r="23" spans="1:7" x14ac:dyDescent="0.25">
      <c r="D23" s="3">
        <v>23240</v>
      </c>
      <c r="E23" s="3">
        <v>10000</v>
      </c>
      <c r="F23" s="3">
        <f t="shared" si="2"/>
        <v>2.3239999999999998</v>
      </c>
      <c r="G23" s="3">
        <f t="shared" si="1"/>
        <v>0</v>
      </c>
    </row>
    <row r="24" spans="1:7" x14ac:dyDescent="0.25">
      <c r="D24" s="3">
        <v>23240</v>
      </c>
      <c r="E24" s="3">
        <v>10000</v>
      </c>
      <c r="F24" s="3">
        <f t="shared" si="2"/>
        <v>2.3239999999999998</v>
      </c>
      <c r="G24" s="3">
        <f t="shared" si="1"/>
        <v>0</v>
      </c>
    </row>
    <row r="25" spans="1:7" x14ac:dyDescent="0.25">
      <c r="D25" s="3">
        <v>23240</v>
      </c>
      <c r="E25" s="3">
        <v>10000</v>
      </c>
      <c r="F25" s="3">
        <f t="shared" si="2"/>
        <v>2.3239999999999998</v>
      </c>
      <c r="G25" s="3">
        <f t="shared" si="1"/>
        <v>0</v>
      </c>
    </row>
    <row r="26" spans="1:7" x14ac:dyDescent="0.25">
      <c r="A26" s="3" t="s">
        <v>163</v>
      </c>
      <c r="B26" s="3">
        <v>7.5</v>
      </c>
      <c r="C26" s="3">
        <v>209242.858568</v>
      </c>
      <c r="D26" s="3">
        <v>23240</v>
      </c>
      <c r="E26" s="3">
        <v>10000</v>
      </c>
      <c r="F26" s="3">
        <f t="shared" si="2"/>
        <v>2.3239999999999998</v>
      </c>
      <c r="G26" s="3">
        <f t="shared" si="1"/>
        <v>763130262409.57129</v>
      </c>
    </row>
    <row r="27" spans="1:7" x14ac:dyDescent="0.25">
      <c r="B27" s="3">
        <v>7.3</v>
      </c>
      <c r="C27" s="3">
        <v>208396.03757300001</v>
      </c>
      <c r="D27" s="3">
        <v>23240</v>
      </c>
      <c r="E27" s="3">
        <v>10000</v>
      </c>
      <c r="F27" s="3">
        <f t="shared" si="2"/>
        <v>2.3239999999999998</v>
      </c>
      <c r="G27" s="3">
        <f t="shared" si="1"/>
        <v>736780118079.1936</v>
      </c>
    </row>
    <row r="28" spans="1:7" x14ac:dyDescent="0.25">
      <c r="B28" s="3">
        <v>7</v>
      </c>
      <c r="C28" s="3">
        <v>235834.906452</v>
      </c>
      <c r="D28" s="3">
        <v>23240</v>
      </c>
      <c r="E28" s="3">
        <v>10000</v>
      </c>
      <c r="F28" s="3">
        <f t="shared" si="2"/>
        <v>2.3239999999999998</v>
      </c>
      <c r="G28" s="3">
        <f t="shared" si="1"/>
        <v>904795301250.70532</v>
      </c>
    </row>
    <row r="29" spans="1:7" x14ac:dyDescent="0.25">
      <c r="B29" s="3">
        <v>7.2</v>
      </c>
      <c r="C29" s="3">
        <v>212011.43121499999</v>
      </c>
      <c r="D29" s="3">
        <v>23240</v>
      </c>
      <c r="E29" s="3">
        <v>10000</v>
      </c>
      <c r="F29" s="3">
        <f t="shared" si="2"/>
        <v>2.3239999999999998</v>
      </c>
      <c r="G29" s="3">
        <f t="shared" si="1"/>
        <v>752120066509.88489</v>
      </c>
    </row>
    <row r="30" spans="1:7" x14ac:dyDescent="0.25">
      <c r="B30" s="3">
        <v>7.4</v>
      </c>
      <c r="C30" s="3">
        <v>207908.56872000001</v>
      </c>
      <c r="D30" s="3">
        <v>23240</v>
      </c>
      <c r="E30" s="3">
        <v>10000</v>
      </c>
      <c r="F30" s="3">
        <f t="shared" si="2"/>
        <v>2.3239999999999998</v>
      </c>
      <c r="G30" s="3">
        <f t="shared" si="1"/>
        <v>743382992356.74902</v>
      </c>
    </row>
    <row r="31" spans="1:7" x14ac:dyDescent="0.25">
      <c r="D31" s="3">
        <v>23240</v>
      </c>
      <c r="E31" s="3">
        <v>10000</v>
      </c>
      <c r="F31" s="3">
        <f t="shared" si="2"/>
        <v>2.3239999999999998</v>
      </c>
      <c r="G31" s="3">
        <f t="shared" si="1"/>
        <v>0</v>
      </c>
    </row>
    <row r="32" spans="1:7" x14ac:dyDescent="0.25">
      <c r="D32" s="3">
        <v>23240</v>
      </c>
      <c r="E32" s="3">
        <v>10000</v>
      </c>
      <c r="F32" s="3">
        <f t="shared" si="2"/>
        <v>2.3239999999999998</v>
      </c>
      <c r="G32" s="3">
        <f t="shared" si="1"/>
        <v>0</v>
      </c>
    </row>
    <row r="33" spans="4:7" x14ac:dyDescent="0.25">
      <c r="D33" s="3">
        <v>23240</v>
      </c>
      <c r="E33" s="3">
        <v>10000</v>
      </c>
      <c r="F33" s="3">
        <f t="shared" si="2"/>
        <v>2.3239999999999998</v>
      </c>
      <c r="G33" s="3">
        <f t="shared" si="1"/>
        <v>0</v>
      </c>
    </row>
    <row r="34" spans="4:7" x14ac:dyDescent="0.25">
      <c r="D34" s="3">
        <v>23240</v>
      </c>
      <c r="E34" s="3">
        <v>10000</v>
      </c>
      <c r="F34" s="3">
        <f t="shared" si="2"/>
        <v>2.3239999999999998</v>
      </c>
      <c r="G34" s="3">
        <f t="shared" si="1"/>
        <v>0</v>
      </c>
    </row>
    <row r="35" spans="4:7" x14ac:dyDescent="0.25">
      <c r="D35" s="3">
        <v>23240</v>
      </c>
      <c r="E35" s="3">
        <v>10000</v>
      </c>
      <c r="F35" s="3">
        <f t="shared" si="2"/>
        <v>2.3239999999999998</v>
      </c>
      <c r="G35" s="3">
        <f t="shared" si="1"/>
        <v>0</v>
      </c>
    </row>
    <row r="36" spans="4:7" x14ac:dyDescent="0.25">
      <c r="D36" s="3">
        <v>23240</v>
      </c>
      <c r="E36" s="3">
        <v>10000</v>
      </c>
      <c r="F36" s="3">
        <f t="shared" si="2"/>
        <v>2.3239999999999998</v>
      </c>
      <c r="G36" s="3">
        <f t="shared" si="1"/>
        <v>0</v>
      </c>
    </row>
    <row r="37" spans="4:7" x14ac:dyDescent="0.25">
      <c r="D37" s="3">
        <v>23240</v>
      </c>
      <c r="E37" s="3">
        <v>10000</v>
      </c>
      <c r="F37" s="3">
        <f t="shared" si="2"/>
        <v>2.3239999999999998</v>
      </c>
      <c r="G37" s="3">
        <f t="shared" si="1"/>
        <v>0</v>
      </c>
    </row>
    <row r="38" spans="4:7" x14ac:dyDescent="0.25">
      <c r="D38" s="3">
        <v>23240</v>
      </c>
      <c r="E38" s="3">
        <v>10000</v>
      </c>
      <c r="F38" s="3">
        <f t="shared" si="2"/>
        <v>2.3239999999999998</v>
      </c>
      <c r="G38" s="3">
        <f t="shared" si="1"/>
        <v>0</v>
      </c>
    </row>
    <row r="39" spans="4:7" x14ac:dyDescent="0.25">
      <c r="D39" s="3">
        <v>23240</v>
      </c>
      <c r="E39" s="3">
        <v>10000</v>
      </c>
      <c r="G39" s="3">
        <f t="shared" si="1"/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0CD0-D816-407D-8E03-65367AC1007C}">
  <dimension ref="A1:AK65"/>
  <sheetViews>
    <sheetView topLeftCell="C1" zoomScale="70" zoomScaleNormal="70" workbookViewId="0">
      <selection activeCell="Q67" sqref="Q67"/>
    </sheetView>
  </sheetViews>
  <sheetFormatPr defaultRowHeight="15.75" x14ac:dyDescent="0.25"/>
  <cols>
    <col min="1" max="1" width="5.42578125" style="3" bestFit="1" customWidth="1"/>
    <col min="2" max="2" width="11" style="3" bestFit="1" customWidth="1"/>
    <col min="3" max="10" width="16" style="3" bestFit="1" customWidth="1"/>
    <col min="11" max="12" width="18.28515625" style="3" bestFit="1" customWidth="1"/>
    <col min="13" max="13" width="17.7109375" style="3" bestFit="1" customWidth="1"/>
    <col min="14" max="14" width="12.140625" style="3" bestFit="1" customWidth="1"/>
    <col min="15" max="15" width="10" style="3" bestFit="1" customWidth="1"/>
    <col min="16" max="16" width="9.5703125" style="3" bestFit="1" customWidth="1"/>
    <col min="17" max="18" width="18.28515625" style="3" bestFit="1" customWidth="1"/>
    <col min="19" max="19" width="17.7109375" style="3" bestFit="1" customWidth="1"/>
    <col min="20" max="22" width="13.5703125" style="3" bestFit="1" customWidth="1"/>
    <col min="23" max="23" width="30" style="3" bestFit="1" customWidth="1"/>
    <col min="24" max="24" width="19.140625" style="3" bestFit="1" customWidth="1"/>
    <col min="25" max="26" width="13.5703125" style="3" bestFit="1" customWidth="1"/>
    <col min="27" max="27" width="27.85546875" style="3" bestFit="1" customWidth="1"/>
    <col min="28" max="28" width="6.85546875" style="3" bestFit="1" customWidth="1"/>
    <col min="29" max="37" width="13.5703125" style="3" bestFit="1" customWidth="1"/>
    <col min="38" max="16384" width="9.140625" style="3"/>
  </cols>
  <sheetData>
    <row r="1" spans="1:27" x14ac:dyDescent="0.25">
      <c r="A1" s="3" t="s">
        <v>1</v>
      </c>
      <c r="B1" s="3" t="s">
        <v>2</v>
      </c>
      <c r="C1" s="9" t="s">
        <v>121</v>
      </c>
      <c r="D1" s="7" t="s">
        <v>122</v>
      </c>
      <c r="E1" s="5" t="s">
        <v>123</v>
      </c>
      <c r="F1" s="4" t="s">
        <v>124</v>
      </c>
      <c r="G1" s="9" t="s">
        <v>125</v>
      </c>
      <c r="H1" s="7" t="s">
        <v>126</v>
      </c>
      <c r="I1" s="5" t="s">
        <v>127</v>
      </c>
      <c r="J1" s="4" t="s">
        <v>128</v>
      </c>
      <c r="K1" s="9" t="s">
        <v>12</v>
      </c>
      <c r="L1" s="5"/>
      <c r="M1" s="4"/>
      <c r="N1" s="72" t="s">
        <v>120</v>
      </c>
      <c r="O1" s="30" t="s">
        <v>129</v>
      </c>
      <c r="P1" s="79" t="s">
        <v>131</v>
      </c>
      <c r="Q1" s="3" t="s">
        <v>1</v>
      </c>
      <c r="R1" s="3" t="s">
        <v>13</v>
      </c>
      <c r="S1" s="3" t="s">
        <v>15</v>
      </c>
      <c r="T1" s="3" t="str">
        <f>LEFT(S1, LEN(S1)-2) &amp; "1]"</f>
        <v>det22_reg [1]</v>
      </c>
      <c r="U1" s="3" t="s">
        <v>16</v>
      </c>
      <c r="V1" s="3" t="s">
        <v>17</v>
      </c>
      <c r="W1" s="3" t="s">
        <v>14</v>
      </c>
      <c r="X1" s="3" t="s">
        <v>18</v>
      </c>
      <c r="Y1" s="3" t="s">
        <v>19</v>
      </c>
      <c r="Z1" s="3" t="s">
        <v>20</v>
      </c>
      <c r="AA1" s="3" t="s">
        <v>21</v>
      </c>
    </row>
    <row r="2" spans="1:27" x14ac:dyDescent="0.25">
      <c r="A2" s="3">
        <v>0</v>
      </c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72"/>
      <c r="O2" s="30"/>
      <c r="P2" s="79"/>
      <c r="Q2" s="3">
        <v>0</v>
      </c>
    </row>
    <row r="3" spans="1:27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72"/>
      <c r="O3" s="30"/>
      <c r="P3" s="79"/>
      <c r="Q3" s="3">
        <v>1</v>
      </c>
    </row>
    <row r="4" spans="1:27" ht="16.5" thickBot="1" x14ac:dyDescent="0.3">
      <c r="A4" s="3">
        <v>2</v>
      </c>
      <c r="B4" s="3">
        <v>2</v>
      </c>
      <c r="C4" s="9" t="str">
        <f t="shared" ref="C4:I18" si="0">D3</f>
        <v>X</v>
      </c>
      <c r="D4" s="7" t="str">
        <f t="shared" si="0"/>
        <v>X</v>
      </c>
      <c r="E4" s="5" t="str">
        <f t="shared" si="0"/>
        <v>X</v>
      </c>
      <c r="F4" s="4" t="str">
        <f t="shared" si="0"/>
        <v>X</v>
      </c>
      <c r="G4" s="9" t="str">
        <f t="shared" si="0"/>
        <v>X</v>
      </c>
      <c r="H4" s="7" t="str">
        <f t="shared" si="0"/>
        <v>X</v>
      </c>
      <c r="I4" s="5">
        <f>J3</f>
        <v>1</v>
      </c>
      <c r="J4" s="4">
        <v>2</v>
      </c>
      <c r="K4" s="9"/>
      <c r="L4" s="5"/>
      <c r="M4" s="4"/>
      <c r="N4" s="72"/>
      <c r="O4" s="30"/>
      <c r="P4" s="79"/>
      <c r="Q4" s="3">
        <v>2</v>
      </c>
    </row>
    <row r="5" spans="1:27" x14ac:dyDescent="0.25">
      <c r="A5" s="3">
        <v>3</v>
      </c>
      <c r="B5" s="3">
        <v>3</v>
      </c>
      <c r="C5" s="9" t="str">
        <f t="shared" si="0"/>
        <v>X</v>
      </c>
      <c r="D5" s="7" t="str">
        <f t="shared" si="0"/>
        <v>X</v>
      </c>
      <c r="E5" s="5" t="str">
        <f t="shared" si="0"/>
        <v>X</v>
      </c>
      <c r="F5" s="4" t="str">
        <f t="shared" si="0"/>
        <v>X</v>
      </c>
      <c r="G5" s="9" t="str">
        <f t="shared" si="0"/>
        <v>X</v>
      </c>
      <c r="H5" s="7">
        <f t="shared" si="0"/>
        <v>1</v>
      </c>
      <c r="I5" s="5">
        <f t="shared" si="0"/>
        <v>2</v>
      </c>
      <c r="J5" s="4">
        <v>3</v>
      </c>
      <c r="K5" s="9"/>
      <c r="L5" s="5"/>
      <c r="M5" s="4"/>
      <c r="N5" s="73"/>
      <c r="O5" s="74"/>
      <c r="P5" s="80"/>
      <c r="Q5" s="3">
        <v>3</v>
      </c>
    </row>
    <row r="6" spans="1:27" x14ac:dyDescent="0.25">
      <c r="A6" s="3">
        <v>4</v>
      </c>
      <c r="B6" s="3">
        <v>4</v>
      </c>
      <c r="C6" s="9" t="str">
        <f t="shared" si="0"/>
        <v>X</v>
      </c>
      <c r="D6" s="7" t="str">
        <f t="shared" si="0"/>
        <v>X</v>
      </c>
      <c r="E6" s="5" t="str">
        <f t="shared" si="0"/>
        <v>X</v>
      </c>
      <c r="F6" s="4" t="str">
        <f t="shared" si="0"/>
        <v>X</v>
      </c>
      <c r="G6" s="9">
        <f t="shared" si="0"/>
        <v>1</v>
      </c>
      <c r="H6" s="7">
        <f t="shared" si="0"/>
        <v>2</v>
      </c>
      <c r="I6" s="5">
        <f t="shared" si="0"/>
        <v>3</v>
      </c>
      <c r="J6" s="4">
        <v>4</v>
      </c>
      <c r="K6" s="9"/>
      <c r="L6" s="5"/>
      <c r="M6" s="4"/>
      <c r="N6" s="75"/>
      <c r="O6" s="76"/>
      <c r="P6" s="81"/>
      <c r="Q6" s="3">
        <v>4</v>
      </c>
    </row>
    <row r="7" spans="1:27" x14ac:dyDescent="0.25">
      <c r="A7" s="3">
        <v>5</v>
      </c>
      <c r="B7" s="3">
        <v>5</v>
      </c>
      <c r="C7" s="9" t="str">
        <f t="shared" si="0"/>
        <v>X</v>
      </c>
      <c r="D7" s="7" t="str">
        <f t="shared" si="0"/>
        <v>X</v>
      </c>
      <c r="E7" s="5" t="str">
        <f t="shared" si="0"/>
        <v>X</v>
      </c>
      <c r="F7" s="4">
        <f t="shared" si="0"/>
        <v>1</v>
      </c>
      <c r="G7" s="9">
        <f t="shared" si="0"/>
        <v>2</v>
      </c>
      <c r="H7" s="7">
        <f t="shared" si="0"/>
        <v>3</v>
      </c>
      <c r="I7" s="5">
        <f t="shared" si="0"/>
        <v>4</v>
      </c>
      <c r="J7" s="4">
        <v>5</v>
      </c>
      <c r="K7" s="9"/>
      <c r="L7" s="5"/>
      <c r="M7" s="4"/>
      <c r="N7" s="75"/>
      <c r="O7" s="76"/>
      <c r="P7" s="81"/>
      <c r="Q7" s="3">
        <v>5</v>
      </c>
    </row>
    <row r="8" spans="1:27" x14ac:dyDescent="0.25">
      <c r="A8" s="3">
        <v>6</v>
      </c>
      <c r="B8" s="3">
        <v>6</v>
      </c>
      <c r="C8" s="9" t="str">
        <f t="shared" si="0"/>
        <v>X</v>
      </c>
      <c r="D8" s="7" t="str">
        <f t="shared" si="0"/>
        <v>X</v>
      </c>
      <c r="E8" s="5">
        <f t="shared" si="0"/>
        <v>1</v>
      </c>
      <c r="F8" s="4">
        <f t="shared" si="0"/>
        <v>2</v>
      </c>
      <c r="G8" s="9">
        <f t="shared" si="0"/>
        <v>3</v>
      </c>
      <c r="H8" s="7">
        <f t="shared" si="0"/>
        <v>4</v>
      </c>
      <c r="I8" s="5">
        <f t="shared" si="0"/>
        <v>5</v>
      </c>
      <c r="J8" s="4">
        <v>6</v>
      </c>
      <c r="K8" s="9"/>
      <c r="L8" s="5"/>
      <c r="M8" s="4"/>
      <c r="N8" s="75" t="str">
        <f>E8 &amp; "," &amp; F8 &amp; CHAR(10) &amp; I8 &amp; "," &amp; J8</f>
        <v>1,2
5,6</v>
      </c>
      <c r="O8" s="76"/>
      <c r="P8" s="81"/>
      <c r="Q8" s="3">
        <v>6</v>
      </c>
    </row>
    <row r="9" spans="1:27" ht="16.5" thickBot="1" x14ac:dyDescent="0.3">
      <c r="A9" s="3">
        <v>7</v>
      </c>
      <c r="B9" s="3">
        <v>7</v>
      </c>
      <c r="C9" s="9" t="str">
        <f t="shared" si="0"/>
        <v>X</v>
      </c>
      <c r="D9" s="7">
        <f t="shared" si="0"/>
        <v>1</v>
      </c>
      <c r="E9" s="5">
        <f t="shared" si="0"/>
        <v>2</v>
      </c>
      <c r="F9" s="4">
        <f t="shared" si="0"/>
        <v>3</v>
      </c>
      <c r="G9" s="9">
        <f t="shared" si="0"/>
        <v>4</v>
      </c>
      <c r="H9" s="7">
        <f t="shared" si="0"/>
        <v>5</v>
      </c>
      <c r="I9" s="5">
        <f t="shared" si="0"/>
        <v>6</v>
      </c>
      <c r="J9" s="4">
        <v>7</v>
      </c>
      <c r="K9" s="9"/>
      <c r="L9" s="5"/>
      <c r="M9" s="4"/>
      <c r="N9" s="75" t="str">
        <f t="shared" ref="N9:N14" si="1">E9 &amp; "," &amp; F9 &amp; CHAR(10) &amp; I9 &amp; "," &amp; J9</f>
        <v>2,3
6,7</v>
      </c>
      <c r="O9" s="76" t="str">
        <f>D9 &amp; "," &amp; F9 &amp; CHAR(10) &amp; H9 &amp; "," &amp; J9</f>
        <v>1,3
5,7</v>
      </c>
      <c r="P9" s="81"/>
      <c r="Q9" s="3">
        <v>7</v>
      </c>
      <c r="AA9" s="3" t="str">
        <f>N8</f>
        <v>1,2
5,6</v>
      </c>
    </row>
    <row r="10" spans="1:27" ht="16.5" thickBot="1" x14ac:dyDescent="0.3">
      <c r="A10" s="3">
        <v>8</v>
      </c>
      <c r="B10" s="11">
        <v>8</v>
      </c>
      <c r="C10" s="12">
        <f t="shared" si="0"/>
        <v>1</v>
      </c>
      <c r="D10" s="13">
        <f t="shared" si="0"/>
        <v>2</v>
      </c>
      <c r="E10" s="14">
        <f t="shared" si="0"/>
        <v>3</v>
      </c>
      <c r="F10" s="15">
        <f t="shared" si="0"/>
        <v>4</v>
      </c>
      <c r="G10" s="12">
        <f t="shared" si="0"/>
        <v>5</v>
      </c>
      <c r="H10" s="13">
        <f t="shared" si="0"/>
        <v>6</v>
      </c>
      <c r="I10" s="14">
        <f t="shared" si="0"/>
        <v>7</v>
      </c>
      <c r="J10" s="16">
        <v>8</v>
      </c>
      <c r="K10" s="9" t="str">
        <f>E8 &amp; "," &amp; F8 &amp; CHAR(10) &amp; I8 &amp; "," &amp; J8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75" t="str">
        <f t="shared" si="1"/>
        <v>3,4
7,8</v>
      </c>
      <c r="O10" s="76" t="str">
        <f t="shared" ref="O10:O14" si="2">D10 &amp; "," &amp; F10 &amp; CHAR(10) &amp; H10 &amp; "," &amp; J10</f>
        <v>2,4
6,8</v>
      </c>
      <c r="P10" s="81" t="str">
        <f>C10 &amp; "," &amp; F10 &amp; CHAR(10) &amp; G10 &amp; "," &amp; J10</f>
        <v>1,4
5,8</v>
      </c>
      <c r="Q10" s="3">
        <v>8</v>
      </c>
      <c r="AA10" s="3" t="str">
        <f>N9</f>
        <v>2,3
6,7</v>
      </c>
    </row>
    <row r="11" spans="1:27" x14ac:dyDescent="0.25">
      <c r="A11" s="3">
        <v>9</v>
      </c>
      <c r="B11" s="3">
        <v>9</v>
      </c>
      <c r="C11" s="9">
        <f t="shared" si="0"/>
        <v>2</v>
      </c>
      <c r="D11" s="7">
        <f t="shared" si="0"/>
        <v>3</v>
      </c>
      <c r="E11" s="5">
        <f t="shared" si="0"/>
        <v>4</v>
      </c>
      <c r="F11" s="4">
        <f t="shared" si="0"/>
        <v>5</v>
      </c>
      <c r="G11" s="9">
        <f t="shared" si="0"/>
        <v>6</v>
      </c>
      <c r="H11" s="7">
        <f t="shared" si="0"/>
        <v>7</v>
      </c>
      <c r="I11" s="5">
        <f t="shared" si="0"/>
        <v>8</v>
      </c>
      <c r="J11" s="4">
        <v>9</v>
      </c>
      <c r="K11" s="9" t="str">
        <f t="shared" ref="K11:K18" si="3">C11 &amp; "," &amp; D11 &amp; CHAR(10) &amp; G11 &amp; "," &amp; H11</f>
        <v>2,3
6,7</v>
      </c>
      <c r="L11" s="5" t="str">
        <f t="shared" ref="L11:L15" si="4">C11 &amp; "," &amp; E11 &amp; CHAR(10) &amp; G11 &amp; "," &amp; I11</f>
        <v>2,4
6,8</v>
      </c>
      <c r="M11" s="4"/>
      <c r="N11" s="75"/>
      <c r="O11" s="76"/>
      <c r="P11" s="81"/>
      <c r="Q11" s="3">
        <v>9</v>
      </c>
      <c r="AA11" s="3" t="str">
        <f>N10</f>
        <v>3,4
7,8</v>
      </c>
    </row>
    <row r="12" spans="1:27" x14ac:dyDescent="0.25">
      <c r="A12" s="3">
        <v>10</v>
      </c>
      <c r="B12" s="3">
        <v>10</v>
      </c>
      <c r="C12" s="9">
        <f t="shared" si="0"/>
        <v>3</v>
      </c>
      <c r="D12" s="7">
        <f t="shared" si="0"/>
        <v>4</v>
      </c>
      <c r="E12" s="5">
        <f t="shared" si="0"/>
        <v>5</v>
      </c>
      <c r="F12" s="4">
        <f t="shared" si="0"/>
        <v>6</v>
      </c>
      <c r="G12" s="9">
        <f t="shared" si="0"/>
        <v>7</v>
      </c>
      <c r="H12" s="7">
        <f t="shared" si="0"/>
        <v>8</v>
      </c>
      <c r="I12" s="5">
        <f t="shared" si="0"/>
        <v>9</v>
      </c>
      <c r="J12" s="4">
        <v>10</v>
      </c>
      <c r="K12" s="9" t="str">
        <f t="shared" si="3"/>
        <v>3,4
7,8</v>
      </c>
      <c r="L12" s="5"/>
      <c r="M12" s="4"/>
      <c r="N12" s="75" t="str">
        <f t="shared" si="1"/>
        <v>5,6
9,10</v>
      </c>
      <c r="O12" s="76"/>
      <c r="P12" s="81"/>
      <c r="Q12" s="3">
        <v>10</v>
      </c>
      <c r="R12" s="3">
        <f>S11</f>
        <v>0</v>
      </c>
      <c r="S12" s="3">
        <f>T11</f>
        <v>0</v>
      </c>
      <c r="T12" s="3">
        <f>U11</f>
        <v>0</v>
      </c>
      <c r="U12" s="3">
        <f>V11</f>
        <v>0</v>
      </c>
      <c r="V12" s="3">
        <f>W11</f>
        <v>0</v>
      </c>
      <c r="W12" s="3">
        <f>X11</f>
        <v>0</v>
      </c>
      <c r="X12" s="3">
        <f>Y11</f>
        <v>0</v>
      </c>
      <c r="Y12" s="3">
        <f>Z11</f>
        <v>0</v>
      </c>
      <c r="Z12" s="3" t="str">
        <f>AA11</f>
        <v>3,4
7,8</v>
      </c>
      <c r="AA12" s="3" t="str">
        <f>AA11</f>
        <v>3,4
7,8</v>
      </c>
    </row>
    <row r="13" spans="1:27" x14ac:dyDescent="0.25">
      <c r="A13" s="3">
        <v>11</v>
      </c>
      <c r="B13" s="3">
        <v>11</v>
      </c>
      <c r="C13" s="9">
        <f t="shared" si="0"/>
        <v>4</v>
      </c>
      <c r="D13" s="7">
        <f t="shared" si="0"/>
        <v>5</v>
      </c>
      <c r="E13" s="5">
        <f t="shared" si="0"/>
        <v>6</v>
      </c>
      <c r="F13" s="4">
        <f t="shared" si="0"/>
        <v>7</v>
      </c>
      <c r="G13" s="9">
        <f t="shared" si="0"/>
        <v>8</v>
      </c>
      <c r="H13" s="7">
        <f t="shared" si="0"/>
        <v>9</v>
      </c>
      <c r="I13" s="5">
        <f t="shared" si="0"/>
        <v>10</v>
      </c>
      <c r="J13" s="4">
        <v>11</v>
      </c>
      <c r="K13" s="9" t="s">
        <v>0</v>
      </c>
      <c r="L13" s="5"/>
      <c r="M13" s="4"/>
      <c r="N13" s="75" t="str">
        <f t="shared" si="1"/>
        <v>6,7
10,11</v>
      </c>
      <c r="O13" s="76" t="str">
        <f t="shared" si="2"/>
        <v>5,7
9,11</v>
      </c>
      <c r="P13" s="81"/>
      <c r="Q13" s="3">
        <v>11</v>
      </c>
      <c r="R13" s="3">
        <f>S12</f>
        <v>0</v>
      </c>
      <c r="S13" s="3">
        <f>T12</f>
        <v>0</v>
      </c>
      <c r="T13" s="3">
        <f>U12</f>
        <v>0</v>
      </c>
      <c r="U13" s="3">
        <f>V12</f>
        <v>0</v>
      </c>
      <c r="V13" s="3">
        <f>W12</f>
        <v>0</v>
      </c>
      <c r="W13" s="3">
        <f>X12</f>
        <v>0</v>
      </c>
      <c r="X13" s="3">
        <f>Y12</f>
        <v>0</v>
      </c>
      <c r="Y13" s="3" t="str">
        <f>Z12</f>
        <v>3,4
7,8</v>
      </c>
      <c r="Z13" s="3" t="str">
        <f>AA12</f>
        <v>3,4
7,8</v>
      </c>
      <c r="AA13" s="3" t="str">
        <f>N12</f>
        <v>5,6
9,10</v>
      </c>
    </row>
    <row r="14" spans="1:27" x14ac:dyDescent="0.25">
      <c r="A14" s="3">
        <v>12</v>
      </c>
      <c r="B14" s="3">
        <v>12</v>
      </c>
      <c r="C14" s="9">
        <f t="shared" si="0"/>
        <v>5</v>
      </c>
      <c r="D14" s="7">
        <f t="shared" si="0"/>
        <v>6</v>
      </c>
      <c r="E14" s="5">
        <f t="shared" si="0"/>
        <v>7</v>
      </c>
      <c r="F14" s="4">
        <f t="shared" si="0"/>
        <v>8</v>
      </c>
      <c r="G14" s="9">
        <f t="shared" si="0"/>
        <v>9</v>
      </c>
      <c r="H14" s="7">
        <f t="shared" si="0"/>
        <v>10</v>
      </c>
      <c r="I14" s="5">
        <f t="shared" si="0"/>
        <v>11</v>
      </c>
      <c r="J14" s="4">
        <v>12</v>
      </c>
      <c r="K14" s="9" t="str">
        <f t="shared" si="3"/>
        <v>5,6
9,10</v>
      </c>
      <c r="L14" s="5" t="str">
        <f t="shared" si="4"/>
        <v>5,7
9,11</v>
      </c>
      <c r="M14" s="4"/>
      <c r="N14" s="75" t="str">
        <f t="shared" si="1"/>
        <v>7,8
11,12</v>
      </c>
      <c r="O14" s="76" t="str">
        <f t="shared" si="2"/>
        <v>6,8
10,12</v>
      </c>
      <c r="P14" s="81"/>
      <c r="Q14" s="3">
        <v>12</v>
      </c>
      <c r="R14" s="3">
        <f>R13</f>
        <v>0</v>
      </c>
      <c r="S14" s="3">
        <f>S13</f>
        <v>0</v>
      </c>
      <c r="T14" s="3">
        <f>T13</f>
        <v>0</v>
      </c>
      <c r="U14" s="3">
        <f>U13</f>
        <v>0</v>
      </c>
      <c r="V14" s="3">
        <f>V13</f>
        <v>0</v>
      </c>
      <c r="W14" s="3">
        <f>W13</f>
        <v>0</v>
      </c>
      <c r="X14" s="3">
        <f>X13</f>
        <v>0</v>
      </c>
      <c r="Y14" s="3" t="str">
        <f>Y13</f>
        <v>3,4
7,8</v>
      </c>
      <c r="Z14" s="3" t="str">
        <f>Z13</f>
        <v>3,4
7,8</v>
      </c>
      <c r="AA14" s="3" t="str">
        <f>N13</f>
        <v>6,7
10,11</v>
      </c>
    </row>
    <row r="15" spans="1:27" x14ac:dyDescent="0.25">
      <c r="A15" s="3">
        <v>13</v>
      </c>
      <c r="B15" s="3">
        <v>13</v>
      </c>
      <c r="C15" s="9">
        <f t="shared" si="0"/>
        <v>6</v>
      </c>
      <c r="D15" s="7">
        <f t="shared" si="0"/>
        <v>7</v>
      </c>
      <c r="E15" s="5">
        <f t="shared" si="0"/>
        <v>8</v>
      </c>
      <c r="F15" s="4">
        <f t="shared" si="0"/>
        <v>9</v>
      </c>
      <c r="G15" s="9">
        <f t="shared" si="0"/>
        <v>10</v>
      </c>
      <c r="H15" s="7">
        <f t="shared" si="0"/>
        <v>11</v>
      </c>
      <c r="I15" s="5">
        <f t="shared" si="0"/>
        <v>12</v>
      </c>
      <c r="J15" s="4">
        <v>13</v>
      </c>
      <c r="K15" s="9" t="str">
        <f t="shared" si="3"/>
        <v>6,7
10,11</v>
      </c>
      <c r="L15" s="5" t="str">
        <f t="shared" si="4"/>
        <v>6,8
10,12</v>
      </c>
      <c r="M15" s="4"/>
      <c r="N15" s="75"/>
      <c r="O15" s="76"/>
      <c r="P15" s="81"/>
      <c r="Q15" s="3">
        <v>13</v>
      </c>
      <c r="R15" s="3">
        <f>S14</f>
        <v>0</v>
      </c>
      <c r="S15" s="3">
        <f>T14</f>
        <v>0</v>
      </c>
      <c r="T15" s="3">
        <f>U14</f>
        <v>0</v>
      </c>
      <c r="U15" s="3">
        <f>V14</f>
        <v>0</v>
      </c>
      <c r="V15" s="3">
        <f>W14</f>
        <v>0</v>
      </c>
      <c r="W15" s="3">
        <f>X14</f>
        <v>0</v>
      </c>
      <c r="X15" s="3" t="str">
        <f>Y14</f>
        <v>3,4
7,8</v>
      </c>
      <c r="Y15" s="3" t="str">
        <f>Z14</f>
        <v>3,4
7,8</v>
      </c>
      <c r="Z15" s="3" t="str">
        <f>AA14</f>
        <v>6,7
10,11</v>
      </c>
      <c r="AA15" s="64" t="str">
        <f>N14</f>
        <v>7,8
11,12</v>
      </c>
    </row>
    <row r="16" spans="1:27" x14ac:dyDescent="0.25">
      <c r="A16" s="3">
        <v>14</v>
      </c>
      <c r="B16" s="3">
        <v>14</v>
      </c>
      <c r="C16" s="9">
        <f t="shared" si="0"/>
        <v>7</v>
      </c>
      <c r="D16" s="7">
        <f t="shared" si="0"/>
        <v>8</v>
      </c>
      <c r="E16" s="5">
        <f t="shared" si="0"/>
        <v>9</v>
      </c>
      <c r="F16" s="4">
        <f t="shared" si="0"/>
        <v>10</v>
      </c>
      <c r="G16" s="9">
        <f t="shared" si="0"/>
        <v>11</v>
      </c>
      <c r="H16" s="7">
        <f t="shared" si="0"/>
        <v>12</v>
      </c>
      <c r="I16" s="5">
        <f t="shared" si="0"/>
        <v>13</v>
      </c>
      <c r="J16" s="4">
        <v>14</v>
      </c>
      <c r="K16" s="9" t="str">
        <f t="shared" si="3"/>
        <v>7,8
11,12</v>
      </c>
      <c r="L16" s="5"/>
      <c r="M16" s="4"/>
      <c r="N16" s="75" t="str">
        <f>E16 &amp; "," &amp; F16 &amp; CHAR(10) &amp; I16 &amp; "," &amp; J16</f>
        <v>9,10
13,14</v>
      </c>
      <c r="O16" s="76"/>
      <c r="P16" s="81"/>
      <c r="Q16" s="3">
        <v>14</v>
      </c>
      <c r="R16" s="3">
        <f>S15</f>
        <v>0</v>
      </c>
      <c r="S16" s="3">
        <f>T15</f>
        <v>0</v>
      </c>
      <c r="T16" s="3">
        <f>U15</f>
        <v>0</v>
      </c>
      <c r="U16" s="3">
        <f>V15</f>
        <v>0</v>
      </c>
      <c r="V16" s="3">
        <f>W15</f>
        <v>0</v>
      </c>
      <c r="W16" s="3" t="str">
        <f>X15</f>
        <v>3,4
7,8</v>
      </c>
      <c r="X16" s="3" t="str">
        <f>Y15</f>
        <v>3,4
7,8</v>
      </c>
      <c r="Y16" s="3" t="str">
        <f>Z15</f>
        <v>6,7
10,11</v>
      </c>
      <c r="Z16" s="3" t="str">
        <f>AA15</f>
        <v>7,8
11,12</v>
      </c>
      <c r="AA16" s="3" t="str">
        <f>AA15</f>
        <v>7,8
11,12</v>
      </c>
    </row>
    <row r="17" spans="1:37" x14ac:dyDescent="0.25">
      <c r="A17" s="3">
        <v>15</v>
      </c>
      <c r="B17" s="3">
        <v>15</v>
      </c>
      <c r="C17" s="9">
        <f t="shared" si="0"/>
        <v>8</v>
      </c>
      <c r="D17" s="7">
        <f t="shared" si="0"/>
        <v>9</v>
      </c>
      <c r="E17" s="5">
        <f t="shared" si="0"/>
        <v>10</v>
      </c>
      <c r="F17" s="4">
        <f t="shared" si="0"/>
        <v>11</v>
      </c>
      <c r="G17" s="9">
        <f t="shared" si="0"/>
        <v>12</v>
      </c>
      <c r="H17" s="7">
        <f t="shared" si="0"/>
        <v>13</v>
      </c>
      <c r="I17" s="5">
        <f t="shared" si="0"/>
        <v>14</v>
      </c>
      <c r="J17" s="4">
        <v>15</v>
      </c>
      <c r="K17" s="9" t="s">
        <v>0</v>
      </c>
      <c r="L17" s="5"/>
      <c r="M17" s="4"/>
      <c r="N17" s="75" t="str">
        <f>E17 &amp; "," &amp; F17 &amp; CHAR(10) &amp; I17 &amp; "," &amp; J17</f>
        <v>10,11
14,15</v>
      </c>
      <c r="O17" s="76"/>
      <c r="P17" s="81"/>
      <c r="Q17" s="3">
        <v>15</v>
      </c>
      <c r="R17" s="3">
        <f>S16</f>
        <v>0</v>
      </c>
      <c r="S17" s="3">
        <f>T16</f>
        <v>0</v>
      </c>
      <c r="T17" s="3">
        <f>U16</f>
        <v>0</v>
      </c>
      <c r="U17" s="3">
        <f>V16</f>
        <v>0</v>
      </c>
      <c r="V17" s="3" t="str">
        <f>W16</f>
        <v>3,4
7,8</v>
      </c>
      <c r="W17" s="3" t="str">
        <f>X16</f>
        <v>3,4
7,8</v>
      </c>
      <c r="X17" s="3" t="str">
        <f>Y16</f>
        <v>6,7
10,11</v>
      </c>
      <c r="Y17" s="3" t="str">
        <f>Z16</f>
        <v>7,8
11,12</v>
      </c>
      <c r="Z17" s="3" t="str">
        <f>AA16</f>
        <v>7,8
11,12</v>
      </c>
      <c r="AA17" s="3" t="str">
        <f>N16</f>
        <v>9,10
13,14</v>
      </c>
    </row>
    <row r="18" spans="1:37" x14ac:dyDescent="0.25">
      <c r="A18" s="3">
        <v>16</v>
      </c>
      <c r="B18" s="3">
        <v>16</v>
      </c>
      <c r="C18" s="9">
        <f t="shared" si="0"/>
        <v>9</v>
      </c>
      <c r="D18" s="7">
        <f t="shared" si="0"/>
        <v>10</v>
      </c>
      <c r="E18" s="5">
        <f t="shared" si="0"/>
        <v>11</v>
      </c>
      <c r="F18" s="4">
        <f t="shared" si="0"/>
        <v>12</v>
      </c>
      <c r="G18" s="9">
        <f t="shared" si="0"/>
        <v>13</v>
      </c>
      <c r="H18" s="7">
        <f t="shared" si="0"/>
        <v>14</v>
      </c>
      <c r="I18" s="5">
        <f t="shared" si="0"/>
        <v>15</v>
      </c>
      <c r="J18" s="4">
        <v>16</v>
      </c>
      <c r="K18" s="9" t="str">
        <f t="shared" si="3"/>
        <v>9,10
13,14</v>
      </c>
      <c r="L18" s="5"/>
      <c r="M18" s="4"/>
      <c r="N18" s="75" t="str">
        <f>E18 &amp; "," &amp; F18 &amp; CHAR(10) &amp; I18 &amp; "," &amp; J18</f>
        <v>11,12
15,16</v>
      </c>
      <c r="O18" s="76"/>
      <c r="P18" s="81"/>
      <c r="Q18" s="3">
        <v>16</v>
      </c>
      <c r="R18" s="3">
        <f>R17</f>
        <v>0</v>
      </c>
      <c r="S18" s="3">
        <f>S17</f>
        <v>0</v>
      </c>
      <c r="T18" s="3">
        <f>T17</f>
        <v>0</v>
      </c>
      <c r="U18" s="3">
        <f>U17</f>
        <v>0</v>
      </c>
      <c r="V18" s="3" t="str">
        <f>V17</f>
        <v>3,4
7,8</v>
      </c>
      <c r="W18" s="3" t="str">
        <f>W17</f>
        <v>3,4
7,8</v>
      </c>
      <c r="X18" s="3" t="str">
        <f>X17</f>
        <v>6,7
10,11</v>
      </c>
      <c r="Y18" s="3" t="str">
        <f>Y17</f>
        <v>7,8
11,12</v>
      </c>
      <c r="Z18" s="3" t="str">
        <f>Z17</f>
        <v>7,8
11,12</v>
      </c>
      <c r="AA18" s="3" t="str">
        <f>N17</f>
        <v>10,11
14,15</v>
      </c>
    </row>
    <row r="19" spans="1:37" x14ac:dyDescent="0.25">
      <c r="A19" s="3">
        <v>17</v>
      </c>
      <c r="B19" s="3" t="s">
        <v>10</v>
      </c>
      <c r="C19" s="9">
        <f>C18</f>
        <v>9</v>
      </c>
      <c r="D19" s="7">
        <f>D18</f>
        <v>10</v>
      </c>
      <c r="E19" s="5">
        <f>E18</f>
        <v>11</v>
      </c>
      <c r="F19" s="4">
        <f>F18</f>
        <v>12</v>
      </c>
      <c r="G19" s="9">
        <f>G18</f>
        <v>13</v>
      </c>
      <c r="H19" s="7">
        <f>H18</f>
        <v>14</v>
      </c>
      <c r="I19" s="5">
        <f>I18</f>
        <v>15</v>
      </c>
      <c r="J19" s="4">
        <f>J18</f>
        <v>16</v>
      </c>
      <c r="K19" s="9" t="str">
        <f>D19 &amp; "," &amp; E19 &amp; CHAR(10) &amp; H19 &amp; "," &amp; I19</f>
        <v>10,11
14,15</v>
      </c>
      <c r="L19" s="5"/>
      <c r="M19" s="4"/>
      <c r="N19" s="75"/>
      <c r="O19" s="76"/>
      <c r="P19" s="81"/>
      <c r="Q19" s="3">
        <v>17</v>
      </c>
      <c r="R19" s="32">
        <f>S18</f>
        <v>0</v>
      </c>
      <c r="S19" s="32">
        <f>T18</f>
        <v>0</v>
      </c>
      <c r="T19" s="32">
        <f>U18</f>
        <v>0</v>
      </c>
      <c r="U19" s="32" t="str">
        <f>V18</f>
        <v>3,4
7,8</v>
      </c>
      <c r="V19" s="32" t="str">
        <f>W18</f>
        <v>3,4
7,8</v>
      </c>
      <c r="W19" s="32" t="str">
        <f>X18</f>
        <v>6,7
10,11</v>
      </c>
      <c r="X19" s="32" t="str">
        <f>Y18</f>
        <v>7,8
11,12</v>
      </c>
      <c r="Y19" s="32" t="str">
        <f>Z18</f>
        <v>7,8
11,12</v>
      </c>
      <c r="Z19" s="32" t="str">
        <f>AA18</f>
        <v>10,11
14,15</v>
      </c>
      <c r="AA19" s="32" t="str">
        <f>N18</f>
        <v>11,12
15,16</v>
      </c>
    </row>
    <row r="20" spans="1:37" x14ac:dyDescent="0.25">
      <c r="A20" s="3">
        <v>18</v>
      </c>
      <c r="B20" s="3" t="s">
        <v>10</v>
      </c>
      <c r="C20" s="9">
        <f>C19</f>
        <v>9</v>
      </c>
      <c r="D20" s="7">
        <f>D19</f>
        <v>10</v>
      </c>
      <c r="E20" s="5">
        <f>E19</f>
        <v>11</v>
      </c>
      <c r="F20" s="4">
        <f>F19</f>
        <v>12</v>
      </c>
      <c r="G20" s="9">
        <f>G19</f>
        <v>13</v>
      </c>
      <c r="H20" s="7">
        <f>H19</f>
        <v>14</v>
      </c>
      <c r="I20" s="5">
        <f>I19</f>
        <v>15</v>
      </c>
      <c r="J20" s="4">
        <f>J19</f>
        <v>16</v>
      </c>
      <c r="K20" s="9" t="str">
        <f>E20 &amp; "," &amp; F20 &amp; CHAR(10) &amp; I20 &amp; "," &amp; J20</f>
        <v>11,12
15,16</v>
      </c>
      <c r="L20" s="5"/>
      <c r="M20" s="4"/>
      <c r="N20" s="75"/>
      <c r="O20" s="76"/>
      <c r="P20" s="81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3">
        <v>18</v>
      </c>
    </row>
    <row r="21" spans="1:37" ht="16.5" thickBot="1" x14ac:dyDescent="0.3">
      <c r="A21" s="3">
        <v>19</v>
      </c>
      <c r="C21" s="9" t="s">
        <v>0</v>
      </c>
      <c r="D21" s="7"/>
      <c r="E21" s="5"/>
      <c r="F21" s="4"/>
      <c r="G21" s="9"/>
      <c r="H21" s="7"/>
      <c r="I21" s="5"/>
      <c r="J21" s="4"/>
      <c r="K21" s="9"/>
      <c r="L21" s="5"/>
      <c r="M21" s="4"/>
      <c r="N21" s="77"/>
      <c r="O21" s="78"/>
      <c r="P21" s="82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3">
        <v>19</v>
      </c>
      <c r="AB21" s="65"/>
      <c r="AC21" s="65"/>
      <c r="AD21" s="65"/>
      <c r="AE21" s="65"/>
      <c r="AF21" s="65"/>
      <c r="AG21" s="65"/>
      <c r="AH21" s="65"/>
      <c r="AI21" s="65"/>
      <c r="AJ21" s="65"/>
      <c r="AK21" s="65"/>
    </row>
    <row r="22" spans="1:37" x14ac:dyDescent="0.25">
      <c r="AA22" s="66"/>
      <c r="AB22" s="66"/>
      <c r="AC22" s="66"/>
      <c r="AD22" s="66"/>
      <c r="AE22" s="66"/>
      <c r="AF22" s="66"/>
      <c r="AG22" s="66"/>
      <c r="AH22" s="66"/>
      <c r="AI22" s="66"/>
      <c r="AJ22" s="66"/>
    </row>
    <row r="27" spans="1:37" x14ac:dyDescent="0.25">
      <c r="A27" s="3" t="s">
        <v>1</v>
      </c>
      <c r="B27" s="3" t="s">
        <v>2</v>
      </c>
      <c r="C27" s="9" t="s">
        <v>121</v>
      </c>
      <c r="D27" s="7" t="s">
        <v>122</v>
      </c>
      <c r="E27" s="5" t="s">
        <v>123</v>
      </c>
      <c r="F27" s="4" t="s">
        <v>124</v>
      </c>
      <c r="G27" s="9" t="s">
        <v>125</v>
      </c>
      <c r="H27" s="7" t="s">
        <v>126</v>
      </c>
      <c r="I27" s="5" t="s">
        <v>127</v>
      </c>
      <c r="J27" s="4" t="s">
        <v>128</v>
      </c>
      <c r="K27" s="9" t="s">
        <v>12</v>
      </c>
      <c r="L27" s="5"/>
      <c r="M27" s="4"/>
      <c r="N27" s="9" t="str">
        <f t="shared" ref="N27:P35" si="5">K27</f>
        <v>det22_c</v>
      </c>
      <c r="O27" s="5">
        <f t="shared" si="5"/>
        <v>0</v>
      </c>
      <c r="P27" s="4">
        <f t="shared" si="5"/>
        <v>0</v>
      </c>
      <c r="Q27" s="72" t="s">
        <v>120</v>
      </c>
      <c r="R27" s="30" t="s">
        <v>129</v>
      </c>
      <c r="S27" s="79" t="s">
        <v>131</v>
      </c>
      <c r="T27" s="72" t="s">
        <v>120</v>
      </c>
      <c r="U27" s="30" t="s">
        <v>129</v>
      </c>
      <c r="V27" s="79" t="s">
        <v>131</v>
      </c>
      <c r="W27" s="68" t="s">
        <v>36</v>
      </c>
      <c r="X27" s="68" t="s">
        <v>80</v>
      </c>
      <c r="Y27" s="68" t="s">
        <v>22</v>
      </c>
      <c r="Z27" s="68" t="s">
        <v>15</v>
      </c>
      <c r="AA27" s="68" t="str">
        <f>LEFT(Z27, LEN(Z27)-2) &amp; "1]"</f>
        <v>det22_reg [1]</v>
      </c>
      <c r="AB27" s="68"/>
    </row>
    <row r="28" spans="1:37" x14ac:dyDescent="0.25">
      <c r="A28" s="3">
        <v>0</v>
      </c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5"/>
        <v>0</v>
      </c>
      <c r="O28" s="5">
        <f t="shared" si="5"/>
        <v>0</v>
      </c>
      <c r="P28" s="4">
        <f t="shared" si="5"/>
        <v>0</v>
      </c>
      <c r="Q28" s="72"/>
      <c r="R28" s="30"/>
      <c r="S28" s="79"/>
      <c r="T28" s="72"/>
      <c r="U28" s="30"/>
      <c r="V28" s="79"/>
      <c r="W28" s="68" t="s">
        <v>71</v>
      </c>
      <c r="X28" s="68"/>
      <c r="Y28" s="68"/>
      <c r="Z28" s="68"/>
      <c r="AA28" s="68" t="s">
        <v>75</v>
      </c>
      <c r="AB28" s="68"/>
    </row>
    <row r="29" spans="1:37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507</v>
      </c>
      <c r="K29" s="9"/>
      <c r="L29" s="5"/>
      <c r="M29" s="4"/>
      <c r="N29" s="9">
        <f t="shared" si="5"/>
        <v>0</v>
      </c>
      <c r="O29" s="5">
        <f t="shared" si="5"/>
        <v>0</v>
      </c>
      <c r="P29" s="4">
        <f t="shared" si="5"/>
        <v>0</v>
      </c>
      <c r="Q29" s="72"/>
      <c r="R29" s="30"/>
      <c r="S29" s="79"/>
      <c r="T29" s="72"/>
      <c r="U29" s="30"/>
      <c r="V29" s="79"/>
      <c r="W29" s="68"/>
      <c r="X29" s="68"/>
      <c r="Y29" s="68"/>
      <c r="Z29" s="68"/>
      <c r="AA29" s="68"/>
      <c r="AB29" s="68"/>
    </row>
    <row r="30" spans="1:37" ht="16.5" thickBot="1" x14ac:dyDescent="0.3">
      <c r="A30" s="3">
        <v>2</v>
      </c>
      <c r="B30" s="3">
        <v>2</v>
      </c>
      <c r="C30" s="9" t="str">
        <f t="shared" ref="C30:I44" si="6">D29</f>
        <v>X</v>
      </c>
      <c r="D30" s="7" t="str">
        <f t="shared" si="6"/>
        <v>X</v>
      </c>
      <c r="E30" s="5" t="str">
        <f t="shared" si="6"/>
        <v>X</v>
      </c>
      <c r="F30" s="4" t="str">
        <f t="shared" si="6"/>
        <v>X</v>
      </c>
      <c r="G30" s="9" t="str">
        <f t="shared" si="6"/>
        <v>X</v>
      </c>
      <c r="H30" s="7" t="str">
        <f t="shared" si="6"/>
        <v>X</v>
      </c>
      <c r="I30" s="5">
        <f>J29</f>
        <v>507</v>
      </c>
      <c r="J30" s="4">
        <v>926</v>
      </c>
      <c r="K30" s="9"/>
      <c r="L30" s="5"/>
      <c r="M30" s="4"/>
      <c r="N30" s="9">
        <f t="shared" si="5"/>
        <v>0</v>
      </c>
      <c r="O30" s="5">
        <f t="shared" si="5"/>
        <v>0</v>
      </c>
      <c r="P30" s="4">
        <f t="shared" si="5"/>
        <v>0</v>
      </c>
      <c r="Q30" s="72"/>
      <c r="R30" s="30"/>
      <c r="S30" s="79"/>
      <c r="T30" s="72"/>
      <c r="U30" s="30"/>
      <c r="V30" s="79"/>
      <c r="W30" s="68"/>
      <c r="X30" s="68"/>
      <c r="Y30" s="68"/>
      <c r="Z30" s="68"/>
      <c r="AA30" s="68"/>
      <c r="AB30" s="68"/>
    </row>
    <row r="31" spans="1:37" x14ac:dyDescent="0.25">
      <c r="A31" s="3">
        <v>3</v>
      </c>
      <c r="B31" s="3">
        <v>3</v>
      </c>
      <c r="C31" s="9" t="str">
        <f t="shared" si="6"/>
        <v>X</v>
      </c>
      <c r="D31" s="7" t="str">
        <f t="shared" si="6"/>
        <v>X</v>
      </c>
      <c r="E31" s="5" t="str">
        <f t="shared" si="6"/>
        <v>X</v>
      </c>
      <c r="F31" s="4" t="str">
        <f t="shared" si="6"/>
        <v>X</v>
      </c>
      <c r="G31" s="9" t="str">
        <f t="shared" si="6"/>
        <v>X</v>
      </c>
      <c r="H31" s="7">
        <f t="shared" si="6"/>
        <v>507</v>
      </c>
      <c r="I31" s="5">
        <f t="shared" si="6"/>
        <v>926</v>
      </c>
      <c r="J31" s="4">
        <v>441</v>
      </c>
      <c r="K31" s="9"/>
      <c r="L31" s="5"/>
      <c r="M31" s="4"/>
      <c r="N31" s="9">
        <f t="shared" si="5"/>
        <v>0</v>
      </c>
      <c r="O31" s="5">
        <f t="shared" si="5"/>
        <v>0</v>
      </c>
      <c r="P31" s="4">
        <f t="shared" si="5"/>
        <v>0</v>
      </c>
      <c r="Q31" s="73"/>
      <c r="R31" s="74"/>
      <c r="S31" s="80"/>
      <c r="T31" s="73"/>
      <c r="U31" s="74"/>
      <c r="V31" s="80"/>
      <c r="W31" s="68"/>
      <c r="X31" s="68"/>
      <c r="Y31" s="68"/>
      <c r="Z31" s="68"/>
      <c r="AA31" s="68"/>
      <c r="AB31" s="68"/>
    </row>
    <row r="32" spans="1:37" x14ac:dyDescent="0.25">
      <c r="A32" s="3">
        <v>4</v>
      </c>
      <c r="B32" s="3">
        <v>4</v>
      </c>
      <c r="C32" s="9" t="str">
        <f t="shared" si="6"/>
        <v>X</v>
      </c>
      <c r="D32" s="7" t="str">
        <f t="shared" si="6"/>
        <v>X</v>
      </c>
      <c r="E32" s="5" t="str">
        <f t="shared" si="6"/>
        <v>X</v>
      </c>
      <c r="F32" s="4" t="str">
        <f t="shared" si="6"/>
        <v>X</v>
      </c>
      <c r="G32" s="9">
        <f t="shared" si="6"/>
        <v>507</v>
      </c>
      <c r="H32" s="7">
        <f t="shared" si="6"/>
        <v>926</v>
      </c>
      <c r="I32" s="5">
        <f t="shared" si="6"/>
        <v>441</v>
      </c>
      <c r="J32" s="4">
        <v>-785</v>
      </c>
      <c r="K32" s="9"/>
      <c r="L32" s="5"/>
      <c r="M32" s="4"/>
      <c r="N32" s="9">
        <f t="shared" si="5"/>
        <v>0</v>
      </c>
      <c r="O32" s="5">
        <f t="shared" si="5"/>
        <v>0</v>
      </c>
      <c r="P32" s="4">
        <f t="shared" si="5"/>
        <v>0</v>
      </c>
      <c r="Q32" s="75"/>
      <c r="R32" s="76"/>
      <c r="S32" s="81"/>
      <c r="T32" s="75"/>
      <c r="U32" s="76"/>
      <c r="V32" s="81"/>
      <c r="W32" s="68" t="s">
        <v>39</v>
      </c>
      <c r="X32" s="68"/>
      <c r="Y32" s="68"/>
      <c r="Z32" s="68"/>
      <c r="AA32" s="68"/>
      <c r="AB32" s="68"/>
    </row>
    <row r="33" spans="1:28" x14ac:dyDescent="0.25">
      <c r="A33" s="3">
        <v>5</v>
      </c>
      <c r="B33" s="3">
        <v>5</v>
      </c>
      <c r="C33" s="9" t="str">
        <f t="shared" si="6"/>
        <v>X</v>
      </c>
      <c r="D33" s="7" t="str">
        <f t="shared" si="6"/>
        <v>X</v>
      </c>
      <c r="E33" s="5" t="str">
        <f t="shared" si="6"/>
        <v>X</v>
      </c>
      <c r="F33" s="4">
        <f t="shared" si="6"/>
        <v>507</v>
      </c>
      <c r="G33" s="9">
        <f t="shared" si="6"/>
        <v>926</v>
      </c>
      <c r="H33" s="7">
        <f t="shared" si="6"/>
        <v>441</v>
      </c>
      <c r="I33" s="5">
        <f t="shared" si="6"/>
        <v>-785</v>
      </c>
      <c r="J33" s="4">
        <v>703</v>
      </c>
      <c r="K33" s="9"/>
      <c r="L33" s="5"/>
      <c r="M33" s="4"/>
      <c r="N33" s="9">
        <f t="shared" si="5"/>
        <v>0</v>
      </c>
      <c r="O33" s="5">
        <f t="shared" si="5"/>
        <v>0</v>
      </c>
      <c r="P33" s="4">
        <f t="shared" si="5"/>
        <v>0</v>
      </c>
      <c r="Q33" s="75"/>
      <c r="R33" s="76"/>
      <c r="S33" s="81"/>
      <c r="T33" s="75"/>
      <c r="U33" s="76"/>
      <c r="V33" s="81"/>
      <c r="W33" s="68" t="s">
        <v>42</v>
      </c>
      <c r="X33" s="68" t="s">
        <v>40</v>
      </c>
      <c r="Y33" s="68"/>
      <c r="Z33" s="68"/>
      <c r="AA33" s="68"/>
      <c r="AB33" s="68"/>
    </row>
    <row r="34" spans="1:28" x14ac:dyDescent="0.25">
      <c r="A34" s="3">
        <v>6</v>
      </c>
      <c r="B34" s="3">
        <v>6</v>
      </c>
      <c r="C34" s="9" t="str">
        <f t="shared" si="6"/>
        <v>X</v>
      </c>
      <c r="D34" s="7" t="str">
        <f t="shared" si="6"/>
        <v>X</v>
      </c>
      <c r="E34" s="5">
        <f t="shared" si="6"/>
        <v>507</v>
      </c>
      <c r="F34" s="4">
        <f t="shared" si="6"/>
        <v>926</v>
      </c>
      <c r="G34" s="9">
        <f t="shared" si="6"/>
        <v>441</v>
      </c>
      <c r="H34" s="7">
        <f t="shared" si="6"/>
        <v>-785</v>
      </c>
      <c r="I34" s="5">
        <f t="shared" si="6"/>
        <v>703</v>
      </c>
      <c r="J34" s="4">
        <v>473</v>
      </c>
      <c r="K34" s="9"/>
      <c r="L34" s="5"/>
      <c r="M34" s="4"/>
      <c r="N34" s="9">
        <f t="shared" si="5"/>
        <v>0</v>
      </c>
      <c r="O34" s="5">
        <f t="shared" si="5"/>
        <v>0</v>
      </c>
      <c r="P34" s="4">
        <f t="shared" si="5"/>
        <v>0</v>
      </c>
      <c r="Q34" s="75" t="str">
        <f>E34 &amp; "," &amp; F34 &amp; CHAR(10) &amp; I34 &amp; "," &amp; J34</f>
        <v>507,926
703,473</v>
      </c>
      <c r="R34" s="76"/>
      <c r="S34" s="81"/>
      <c r="T34" s="75">
        <f>D56</f>
        <v>-411167</v>
      </c>
      <c r="U34" s="76"/>
      <c r="V34" s="81"/>
      <c r="W34" s="68"/>
      <c r="X34" s="68" t="s">
        <v>41</v>
      </c>
      <c r="Y34" s="68"/>
      <c r="Z34" s="68"/>
      <c r="AA34" s="68"/>
      <c r="AB34" s="68"/>
    </row>
    <row r="35" spans="1:28" ht="16.5" thickBot="1" x14ac:dyDescent="0.3">
      <c r="A35" s="3">
        <v>7</v>
      </c>
      <c r="B35" s="3">
        <v>7</v>
      </c>
      <c r="C35" s="9" t="str">
        <f t="shared" si="6"/>
        <v>X</v>
      </c>
      <c r="D35" s="7">
        <f t="shared" si="6"/>
        <v>507</v>
      </c>
      <c r="E35" s="5">
        <f t="shared" si="6"/>
        <v>926</v>
      </c>
      <c r="F35" s="4">
        <f t="shared" si="6"/>
        <v>441</v>
      </c>
      <c r="G35" s="9">
        <f t="shared" si="6"/>
        <v>-785</v>
      </c>
      <c r="H35" s="7">
        <f t="shared" si="6"/>
        <v>703</v>
      </c>
      <c r="I35" s="5">
        <f t="shared" si="6"/>
        <v>473</v>
      </c>
      <c r="J35" s="4">
        <v>-287</v>
      </c>
      <c r="K35" s="9"/>
      <c r="L35" s="5"/>
      <c r="M35" s="4"/>
      <c r="N35" s="9">
        <f t="shared" si="5"/>
        <v>0</v>
      </c>
      <c r="O35" s="5">
        <f t="shared" si="5"/>
        <v>0</v>
      </c>
      <c r="P35" s="4">
        <f t="shared" si="5"/>
        <v>0</v>
      </c>
      <c r="Q35" s="75" t="str">
        <f t="shared" ref="Q35:Q44" si="7">E35 &amp; "," &amp; F35 &amp; CHAR(10) &amp; I35 &amp; "," &amp; J35</f>
        <v>926,441
473,-287</v>
      </c>
      <c r="R35" s="76" t="str">
        <f>D35 &amp; "," &amp; F35 &amp; CHAR(10) &amp; H35 &amp; "," &amp; J35</f>
        <v>507,441
703,-287</v>
      </c>
      <c r="S35" s="81"/>
      <c r="T35" s="75">
        <f>E56</f>
        <v>-474355</v>
      </c>
      <c r="U35" s="76">
        <f>N56</f>
        <v>-455532</v>
      </c>
      <c r="V35" s="81"/>
      <c r="W35" s="68"/>
      <c r="X35" s="68"/>
      <c r="Y35" s="68"/>
      <c r="Z35" s="68"/>
      <c r="AA35" s="68"/>
      <c r="AB35" s="68"/>
    </row>
    <row r="36" spans="1:28" ht="16.5" thickBot="1" x14ac:dyDescent="0.3">
      <c r="A36" s="3">
        <v>8</v>
      </c>
      <c r="B36" s="11">
        <v>8</v>
      </c>
      <c r="C36" s="12">
        <f t="shared" si="6"/>
        <v>507</v>
      </c>
      <c r="D36" s="13">
        <f t="shared" si="6"/>
        <v>926</v>
      </c>
      <c r="E36" s="14">
        <f t="shared" si="6"/>
        <v>441</v>
      </c>
      <c r="F36" s="15">
        <f t="shared" si="6"/>
        <v>-785</v>
      </c>
      <c r="G36" s="12">
        <f t="shared" si="6"/>
        <v>703</v>
      </c>
      <c r="H36" s="13">
        <f t="shared" si="6"/>
        <v>473</v>
      </c>
      <c r="I36" s="14">
        <f t="shared" si="6"/>
        <v>-287</v>
      </c>
      <c r="J36" s="16">
        <v>913</v>
      </c>
      <c r="K36" s="9" t="str">
        <f>C36 &amp; "," &amp; D36 &amp; CHAR(10) &amp; G36 &amp; "," &amp; H36</f>
        <v>507,926
703,473</v>
      </c>
      <c r="L36" s="5" t="str">
        <f>C36 &amp; "," &amp; E36 &amp; CHAR(10) &amp; G36 &amp; "," &amp; I36</f>
        <v>507,441
703,-287</v>
      </c>
      <c r="M36" s="4" t="str">
        <f>C36 &amp; "," &amp; F36 &amp; CHAR(10) &amp; G36 &amp; "," &amp; J36</f>
        <v>507,-785
703,913</v>
      </c>
      <c r="N36" s="9">
        <f>D56</f>
        <v>-411167</v>
      </c>
      <c r="O36" s="5">
        <f>N56</f>
        <v>-455532</v>
      </c>
      <c r="P36" s="4">
        <f>T56</f>
        <v>1014745.9999999999</v>
      </c>
      <c r="Q36" s="75" t="str">
        <f t="shared" si="7"/>
        <v>441,-785
-287,913</v>
      </c>
      <c r="R36" s="76" t="str">
        <f t="shared" ref="R36:R40" si="8">D36 &amp; "," &amp; F36 &amp; CHAR(10) &amp; H36 &amp; "," &amp; J36</f>
        <v>926,-785
473,913</v>
      </c>
      <c r="S36" s="81" t="str">
        <f>C36 &amp; "," &amp; F36 &amp; CHAR(10) &amp; G36 &amp; "," &amp; J36</f>
        <v>507,-785
703,913</v>
      </c>
      <c r="T36" s="75">
        <f>F56</f>
        <v>177338</v>
      </c>
      <c r="U36" s="76">
        <f>O56</f>
        <v>1216743</v>
      </c>
      <c r="V36" s="81">
        <f>T56</f>
        <v>1014745.9999999999</v>
      </c>
      <c r="W36" s="68"/>
      <c r="X36" s="68"/>
      <c r="Y36" s="68"/>
      <c r="Z36" s="68"/>
      <c r="AA36" s="68"/>
      <c r="AB36" s="68"/>
    </row>
    <row r="37" spans="1:28" x14ac:dyDescent="0.25">
      <c r="A37" s="3">
        <v>9</v>
      </c>
      <c r="B37" s="3">
        <v>9</v>
      </c>
      <c r="C37" s="9">
        <f t="shared" si="6"/>
        <v>926</v>
      </c>
      <c r="D37" s="7">
        <f t="shared" si="6"/>
        <v>441</v>
      </c>
      <c r="E37" s="5">
        <f t="shared" si="6"/>
        <v>-785</v>
      </c>
      <c r="F37" s="4">
        <f t="shared" si="6"/>
        <v>703</v>
      </c>
      <c r="G37" s="9">
        <f t="shared" si="6"/>
        <v>473</v>
      </c>
      <c r="H37" s="7">
        <f t="shared" si="6"/>
        <v>-287</v>
      </c>
      <c r="I37" s="5">
        <f t="shared" si="6"/>
        <v>913</v>
      </c>
      <c r="J37" s="4">
        <v>563</v>
      </c>
      <c r="K37" s="9" t="str">
        <f t="shared" ref="K37:K46" si="9">C37 &amp; "," &amp; D37 &amp; CHAR(10) &amp; G37 &amp; "," &amp; H37</f>
        <v>926,441
473,-287</v>
      </c>
      <c r="L37" s="5" t="str">
        <f t="shared" ref="L37" si="10">C37 &amp; "," &amp; E37 &amp; CHAR(10) &amp; G37 &amp; "," &amp; I37</f>
        <v>926,-785
473,913</v>
      </c>
      <c r="M37" s="4"/>
      <c r="N37" s="9">
        <f>E56</f>
        <v>-474355</v>
      </c>
      <c r="O37" s="5">
        <f>O56</f>
        <v>1216743</v>
      </c>
      <c r="P37" s="4">
        <f t="shared" ref="P37:P46" si="11">M37</f>
        <v>0</v>
      </c>
      <c r="Q37" s="75"/>
      <c r="R37" s="76"/>
      <c r="S37" s="81"/>
      <c r="T37" s="75"/>
      <c r="U37" s="76"/>
      <c r="V37" s="81"/>
      <c r="W37" s="68"/>
      <c r="X37" s="68"/>
      <c r="Y37" s="68"/>
      <c r="Z37" s="68"/>
      <c r="AA37" s="68"/>
      <c r="AB37" s="68"/>
    </row>
    <row r="38" spans="1:28" x14ac:dyDescent="0.25">
      <c r="A38" s="3">
        <v>10</v>
      </c>
      <c r="B38" s="3">
        <v>10</v>
      </c>
      <c r="C38" s="9">
        <f t="shared" si="6"/>
        <v>441</v>
      </c>
      <c r="D38" s="7">
        <f t="shared" si="6"/>
        <v>-785</v>
      </c>
      <c r="E38" s="5">
        <f t="shared" si="6"/>
        <v>703</v>
      </c>
      <c r="F38" s="4">
        <f t="shared" si="6"/>
        <v>473</v>
      </c>
      <c r="G38" s="9">
        <f t="shared" si="6"/>
        <v>-287</v>
      </c>
      <c r="H38" s="7">
        <f t="shared" si="6"/>
        <v>913</v>
      </c>
      <c r="I38" s="5">
        <f t="shared" si="6"/>
        <v>563</v>
      </c>
      <c r="J38" s="4">
        <v>913</v>
      </c>
      <c r="K38" s="9" t="str">
        <f t="shared" si="9"/>
        <v>441,-785
-287,913</v>
      </c>
      <c r="L38" s="5"/>
      <c r="M38" s="4"/>
      <c r="N38" s="9">
        <f>F56</f>
        <v>177338</v>
      </c>
      <c r="O38" s="5">
        <f>L38</f>
        <v>0</v>
      </c>
      <c r="P38" s="4">
        <f t="shared" si="11"/>
        <v>0</v>
      </c>
      <c r="Q38" s="75" t="str">
        <f t="shared" si="7"/>
        <v>703,473
563,913</v>
      </c>
      <c r="R38" s="76"/>
      <c r="S38" s="81"/>
      <c r="T38" s="75">
        <f>G56</f>
        <v>375540.00000000006</v>
      </c>
      <c r="U38" s="76"/>
      <c r="V38" s="81"/>
      <c r="W38" s="68">
        <f>I38*E56-J38*O36</f>
        <v>148838851</v>
      </c>
      <c r="X38" s="68"/>
      <c r="Y38" s="68"/>
      <c r="Z38" s="68">
        <f t="shared" ref="Z38:AA39" si="12">AA37</f>
        <v>0</v>
      </c>
      <c r="AA38" s="68">
        <f t="shared" si="12"/>
        <v>0</v>
      </c>
      <c r="AB38" s="68"/>
    </row>
    <row r="39" spans="1:28" x14ac:dyDescent="0.25">
      <c r="A39" s="3">
        <v>11</v>
      </c>
      <c r="B39" s="3">
        <v>11</v>
      </c>
      <c r="C39" s="9">
        <f t="shared" si="6"/>
        <v>-785</v>
      </c>
      <c r="D39" s="7">
        <f t="shared" si="6"/>
        <v>703</v>
      </c>
      <c r="E39" s="5">
        <f t="shared" si="6"/>
        <v>473</v>
      </c>
      <c r="F39" s="4">
        <f t="shared" si="6"/>
        <v>-287</v>
      </c>
      <c r="G39" s="9">
        <f t="shared" si="6"/>
        <v>913</v>
      </c>
      <c r="H39" s="7">
        <f t="shared" si="6"/>
        <v>563</v>
      </c>
      <c r="I39" s="5">
        <f t="shared" si="6"/>
        <v>913</v>
      </c>
      <c r="J39" s="4">
        <v>-156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11"/>
        <v>0</v>
      </c>
      <c r="Q39" s="75" t="str">
        <f t="shared" si="7"/>
        <v>473,-287
913,-156</v>
      </c>
      <c r="R39" s="76" t="str">
        <f t="shared" si="8"/>
        <v>703,-287
563,-156</v>
      </c>
      <c r="S39" s="81"/>
      <c r="T39" s="75">
        <f>H56</f>
        <v>188243</v>
      </c>
      <c r="U39" s="76">
        <f>N57</f>
        <v>51912.999999999985</v>
      </c>
      <c r="V39" s="81"/>
      <c r="W39" s="68">
        <f>W38+J39*N36</f>
        <v>212980903</v>
      </c>
      <c r="X39" s="68">
        <f>W38</f>
        <v>148838851</v>
      </c>
      <c r="Y39" s="68">
        <f t="shared" ref="Y39" si="13">Z38</f>
        <v>0</v>
      </c>
      <c r="Z39" s="68">
        <f t="shared" si="12"/>
        <v>0</v>
      </c>
      <c r="AA39" s="68">
        <f t="shared" si="12"/>
        <v>0</v>
      </c>
      <c r="AB39" s="68"/>
    </row>
    <row r="40" spans="1:28" x14ac:dyDescent="0.25">
      <c r="A40" s="3">
        <v>12</v>
      </c>
      <c r="B40" s="3">
        <v>12</v>
      </c>
      <c r="C40" s="9">
        <f t="shared" si="6"/>
        <v>703</v>
      </c>
      <c r="D40" s="7">
        <f t="shared" si="6"/>
        <v>473</v>
      </c>
      <c r="E40" s="5">
        <f t="shared" si="6"/>
        <v>-287</v>
      </c>
      <c r="F40" s="4">
        <f t="shared" si="6"/>
        <v>913</v>
      </c>
      <c r="G40" s="9">
        <f t="shared" si="6"/>
        <v>563</v>
      </c>
      <c r="H40" s="7">
        <f t="shared" si="6"/>
        <v>913</v>
      </c>
      <c r="I40" s="5">
        <f t="shared" si="6"/>
        <v>-156</v>
      </c>
      <c r="J40" s="4">
        <v>-80</v>
      </c>
      <c r="K40" s="9" t="str">
        <f t="shared" si="9"/>
        <v>703,473
563,913</v>
      </c>
      <c r="L40" s="5" t="str">
        <f t="shared" ref="L40:L41" si="14">C40 &amp; "," &amp; E40 &amp; CHAR(10) &amp; G40 &amp; "," &amp; I40</f>
        <v>703,-287
563,-156</v>
      </c>
      <c r="M40" s="4"/>
      <c r="N40" s="9">
        <f>D57</f>
        <v>375540.00000000006</v>
      </c>
      <c r="O40" s="5">
        <f>N57</f>
        <v>51912.999999999985</v>
      </c>
      <c r="P40" s="4">
        <f t="shared" si="11"/>
        <v>0</v>
      </c>
      <c r="Q40" s="75" t="str">
        <f t="shared" si="7"/>
        <v>-287,913
-156,-80</v>
      </c>
      <c r="R40" s="76" t="str">
        <f t="shared" si="8"/>
        <v>473,913
913,-80</v>
      </c>
      <c r="S40" s="81"/>
      <c r="T40" s="75">
        <f>I56</f>
        <v>165388</v>
      </c>
      <c r="U40" s="76">
        <f>O57</f>
        <v>-871409</v>
      </c>
      <c r="V40" s="81"/>
      <c r="W40" s="68">
        <f>J38*N38-J39*O37</f>
        <v>351721502</v>
      </c>
      <c r="X40" s="68">
        <f t="shared" ref="X40:X46" si="15">W39</f>
        <v>212980903</v>
      </c>
      <c r="Y40" s="68">
        <f t="shared" ref="Y40:AA40" si="16">Y39</f>
        <v>0</v>
      </c>
      <c r="Z40" s="68">
        <f t="shared" si="16"/>
        <v>0</v>
      </c>
      <c r="AA40" s="68">
        <f t="shared" si="16"/>
        <v>0</v>
      </c>
      <c r="AB40" s="68"/>
    </row>
    <row r="41" spans="1:28" x14ac:dyDescent="0.25">
      <c r="A41" s="3">
        <v>13</v>
      </c>
      <c r="B41" s="3">
        <v>13</v>
      </c>
      <c r="C41" s="9">
        <f t="shared" si="6"/>
        <v>473</v>
      </c>
      <c r="D41" s="7">
        <f t="shared" si="6"/>
        <v>-287</v>
      </c>
      <c r="E41" s="5">
        <f t="shared" si="6"/>
        <v>913</v>
      </c>
      <c r="F41" s="4">
        <f t="shared" si="6"/>
        <v>563</v>
      </c>
      <c r="G41" s="9">
        <f t="shared" si="6"/>
        <v>913</v>
      </c>
      <c r="H41" s="7">
        <f t="shared" si="6"/>
        <v>-156</v>
      </c>
      <c r="I41" s="5">
        <f t="shared" si="6"/>
        <v>-80</v>
      </c>
      <c r="J41" s="4">
        <v>976</v>
      </c>
      <c r="K41" s="9" t="str">
        <f t="shared" si="9"/>
        <v>473,-287
913,-156</v>
      </c>
      <c r="L41" s="5" t="str">
        <f t="shared" si="14"/>
        <v>473,913
913,-80</v>
      </c>
      <c r="M41" s="4"/>
      <c r="N41" s="9">
        <f>E57</f>
        <v>188243</v>
      </c>
      <c r="O41" s="5">
        <f>O57</f>
        <v>-871409</v>
      </c>
      <c r="P41" s="4">
        <f t="shared" si="11"/>
        <v>0</v>
      </c>
      <c r="Q41" s="75"/>
      <c r="R41" s="76"/>
      <c r="S41" s="81"/>
      <c r="T41" s="75"/>
      <c r="U41" s="76"/>
      <c r="V41" s="81"/>
      <c r="W41" s="68">
        <f>W40+J40*N37</f>
        <v>389669902</v>
      </c>
      <c r="X41" s="68">
        <f t="shared" si="15"/>
        <v>351721502</v>
      </c>
      <c r="Y41" s="68">
        <f t="shared" ref="Y41:AA43" si="17">Z40</f>
        <v>0</v>
      </c>
      <c r="Z41" s="68">
        <f t="shared" si="17"/>
        <v>0</v>
      </c>
      <c r="AA41" s="68">
        <f t="shared" si="17"/>
        <v>0</v>
      </c>
      <c r="AB41" s="68"/>
    </row>
    <row r="42" spans="1:28" x14ac:dyDescent="0.25">
      <c r="A42" s="3">
        <v>14</v>
      </c>
      <c r="B42" s="3">
        <v>14</v>
      </c>
      <c r="C42" s="9">
        <f t="shared" si="6"/>
        <v>-287</v>
      </c>
      <c r="D42" s="7">
        <f t="shared" si="6"/>
        <v>913</v>
      </c>
      <c r="E42" s="5">
        <f t="shared" si="6"/>
        <v>563</v>
      </c>
      <c r="F42" s="4">
        <f t="shared" si="6"/>
        <v>913</v>
      </c>
      <c r="G42" s="9">
        <f t="shared" si="6"/>
        <v>-156</v>
      </c>
      <c r="H42" s="7">
        <f t="shared" si="6"/>
        <v>-80</v>
      </c>
      <c r="I42" s="5">
        <f t="shared" si="6"/>
        <v>976</v>
      </c>
      <c r="J42" s="4">
        <v>238</v>
      </c>
      <c r="K42" s="9" t="str">
        <f t="shared" si="9"/>
        <v>-287,913
-156,-80</v>
      </c>
      <c r="L42" s="5"/>
      <c r="M42" s="4"/>
      <c r="N42" s="9">
        <f>F57</f>
        <v>165388</v>
      </c>
      <c r="O42" s="5">
        <f>L42</f>
        <v>0</v>
      </c>
      <c r="P42" s="4">
        <f t="shared" si="11"/>
        <v>0</v>
      </c>
      <c r="Q42" s="75" t="str">
        <f t="shared" si="7"/>
        <v>563,913
976,238</v>
      </c>
      <c r="R42" s="76"/>
      <c r="S42" s="81"/>
      <c r="T42" s="75">
        <f>J56</f>
        <v>-757094</v>
      </c>
      <c r="U42" s="76"/>
      <c r="V42" s="81"/>
      <c r="W42" s="68">
        <f>J41*N41-J42*O40</f>
        <v>171369874</v>
      </c>
      <c r="X42" s="68">
        <f t="shared" si="15"/>
        <v>389669902</v>
      </c>
      <c r="Y42" s="68">
        <f t="shared" si="17"/>
        <v>0</v>
      </c>
      <c r="Z42" s="68">
        <f t="shared" si="17"/>
        <v>0</v>
      </c>
      <c r="AA42" s="68">
        <f t="shared" si="17"/>
        <v>0</v>
      </c>
      <c r="AB42" s="68"/>
    </row>
    <row r="43" spans="1:28" x14ac:dyDescent="0.25">
      <c r="A43" s="3">
        <v>15</v>
      </c>
      <c r="B43" s="3">
        <v>15</v>
      </c>
      <c r="C43" s="9">
        <f t="shared" si="6"/>
        <v>913</v>
      </c>
      <c r="D43" s="7">
        <f t="shared" si="6"/>
        <v>563</v>
      </c>
      <c r="E43" s="5">
        <f t="shared" si="6"/>
        <v>913</v>
      </c>
      <c r="F43" s="4">
        <f t="shared" si="6"/>
        <v>-156</v>
      </c>
      <c r="G43" s="9">
        <f t="shared" si="6"/>
        <v>-80</v>
      </c>
      <c r="H43" s="7">
        <f t="shared" si="6"/>
        <v>976</v>
      </c>
      <c r="I43" s="5">
        <f t="shared" si="6"/>
        <v>238</v>
      </c>
      <c r="J43" s="4">
        <v>-331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11"/>
        <v>0</v>
      </c>
      <c r="Q43" s="75" t="str">
        <f t="shared" si="7"/>
        <v>913,-156
238,-331</v>
      </c>
      <c r="R43" s="76"/>
      <c r="S43" s="81"/>
      <c r="T43" s="75">
        <f>K56</f>
        <v>-265075</v>
      </c>
      <c r="U43" s="76"/>
      <c r="V43" s="81"/>
      <c r="W43" s="68">
        <f>W42+J43*N40</f>
        <v>47066133.999999985</v>
      </c>
      <c r="X43" s="68">
        <f t="shared" si="15"/>
        <v>171369874</v>
      </c>
      <c r="Y43" s="68">
        <f t="shared" si="17"/>
        <v>0</v>
      </c>
      <c r="Z43" s="69">
        <f t="shared" si="17"/>
        <v>0</v>
      </c>
      <c r="AA43" s="69">
        <f t="shared" si="17"/>
        <v>0</v>
      </c>
      <c r="AB43" s="68"/>
    </row>
    <row r="44" spans="1:28" x14ac:dyDescent="0.25">
      <c r="A44" s="3">
        <v>16</v>
      </c>
      <c r="B44" s="3">
        <v>16</v>
      </c>
      <c r="C44" s="9">
        <f t="shared" si="6"/>
        <v>563</v>
      </c>
      <c r="D44" s="7">
        <f t="shared" si="6"/>
        <v>913</v>
      </c>
      <c r="E44" s="5">
        <f t="shared" si="6"/>
        <v>-156</v>
      </c>
      <c r="F44" s="4">
        <f t="shared" si="6"/>
        <v>-80</v>
      </c>
      <c r="G44" s="9">
        <f t="shared" si="6"/>
        <v>976</v>
      </c>
      <c r="H44" s="7">
        <f t="shared" si="6"/>
        <v>238</v>
      </c>
      <c r="I44" s="5">
        <f t="shared" si="6"/>
        <v>-331</v>
      </c>
      <c r="J44" s="4">
        <v>695</v>
      </c>
      <c r="K44" s="9" t="str">
        <f t="shared" si="9"/>
        <v>563,913
976,238</v>
      </c>
      <c r="L44" s="5"/>
      <c r="M44" s="4"/>
      <c r="N44" s="9">
        <f>D58</f>
        <v>-757094</v>
      </c>
      <c r="O44" s="5">
        <f>L44</f>
        <v>0</v>
      </c>
      <c r="P44" s="4">
        <f t="shared" si="11"/>
        <v>0</v>
      </c>
      <c r="Q44" s="75" t="str">
        <f t="shared" si="7"/>
        <v>-156,-80
-331,695</v>
      </c>
      <c r="R44" s="76"/>
      <c r="S44" s="81"/>
      <c r="T44" s="75">
        <f>L56</f>
        <v>-134900</v>
      </c>
      <c r="U44" s="76"/>
      <c r="V44" s="81"/>
      <c r="W44" s="68">
        <f>J42*N42-J43*O41</f>
        <v>-249074035</v>
      </c>
      <c r="X44" s="68">
        <f t="shared" si="15"/>
        <v>47066133.999999985</v>
      </c>
      <c r="Y44" s="68"/>
      <c r="Z44" s="68"/>
      <c r="AA44" s="68"/>
      <c r="AB44" s="68"/>
    </row>
    <row r="45" spans="1:28" x14ac:dyDescent="0.25">
      <c r="A45" s="3">
        <v>17</v>
      </c>
      <c r="B45" s="3" t="s">
        <v>10</v>
      </c>
      <c r="C45" s="9">
        <f>C44</f>
        <v>563</v>
      </c>
      <c r="D45" s="7">
        <f>D44</f>
        <v>913</v>
      </c>
      <c r="E45" s="5">
        <f>E44</f>
        <v>-156</v>
      </c>
      <c r="F45" s="4">
        <f>F44</f>
        <v>-80</v>
      </c>
      <c r="G45" s="9">
        <f>G44</f>
        <v>976</v>
      </c>
      <c r="H45" s="7">
        <f>H44</f>
        <v>238</v>
      </c>
      <c r="I45" s="5">
        <f>I44</f>
        <v>-331</v>
      </c>
      <c r="J45" s="4">
        <f>J44</f>
        <v>695</v>
      </c>
      <c r="K45" s="9" t="str">
        <f t="shared" si="9"/>
        <v>563,913
976,238</v>
      </c>
      <c r="L45" s="5"/>
      <c r="M45" s="4"/>
      <c r="N45" s="9">
        <f>E58</f>
        <v>-265075</v>
      </c>
      <c r="O45" s="5">
        <f>L45</f>
        <v>0</v>
      </c>
      <c r="P45" s="4">
        <f t="shared" si="11"/>
        <v>0</v>
      </c>
      <c r="Q45" s="75"/>
      <c r="R45" s="76"/>
      <c r="S45" s="81"/>
      <c r="T45" s="75"/>
      <c r="U45" s="76"/>
      <c r="V45" s="81"/>
      <c r="W45" s="68">
        <f>W44+J44*N41</f>
        <v>-118245150</v>
      </c>
      <c r="X45" s="68">
        <f t="shared" si="15"/>
        <v>-249074035</v>
      </c>
      <c r="Y45" s="68"/>
      <c r="Z45" s="68"/>
      <c r="AA45" s="68"/>
      <c r="AB45" s="68"/>
    </row>
    <row r="46" spans="1:28" x14ac:dyDescent="0.25">
      <c r="A46" s="3">
        <v>18</v>
      </c>
      <c r="B46" s="3" t="s">
        <v>10</v>
      </c>
      <c r="C46" s="9">
        <f t="shared" ref="C46:C47" si="18">C45</f>
        <v>563</v>
      </c>
      <c r="D46" s="7">
        <f t="shared" ref="D46:D47" si="19">D45</f>
        <v>913</v>
      </c>
      <c r="E46" s="5">
        <f t="shared" ref="E46:E47" si="20">E45</f>
        <v>-156</v>
      </c>
      <c r="F46" s="4">
        <f t="shared" ref="F46:F47" si="21">F45</f>
        <v>-80</v>
      </c>
      <c r="G46" s="9">
        <f t="shared" ref="G46:G47" si="22">G45</f>
        <v>976</v>
      </c>
      <c r="H46" s="7">
        <f t="shared" ref="H46:H47" si="23">H45</f>
        <v>238</v>
      </c>
      <c r="I46" s="5">
        <f t="shared" ref="I46:I47" si="24">I45</f>
        <v>-331</v>
      </c>
      <c r="J46" s="4">
        <f t="shared" ref="J46:J47" si="25">J45</f>
        <v>695</v>
      </c>
      <c r="K46" s="9" t="str">
        <f t="shared" si="9"/>
        <v>563,913
976,238</v>
      </c>
      <c r="L46" s="5"/>
      <c r="M46" s="4"/>
      <c r="N46" s="9">
        <f>F58</f>
        <v>-134900</v>
      </c>
      <c r="O46" s="5">
        <f>L46</f>
        <v>0</v>
      </c>
      <c r="P46" s="4">
        <f t="shared" si="11"/>
        <v>0</v>
      </c>
      <c r="Q46" s="75"/>
      <c r="R46" s="76"/>
      <c r="S46" s="81"/>
      <c r="T46" s="75"/>
      <c r="U46" s="76"/>
      <c r="V46" s="81"/>
      <c r="W46" s="68"/>
      <c r="X46" s="68">
        <f t="shared" si="15"/>
        <v>-118245150</v>
      </c>
      <c r="Y46" s="68"/>
      <c r="Z46" s="68"/>
      <c r="AA46" s="68"/>
      <c r="AB46" s="68"/>
    </row>
    <row r="47" spans="1:28" ht="16.5" thickBot="1" x14ac:dyDescent="0.3">
      <c r="A47" s="3">
        <v>19</v>
      </c>
      <c r="C47" s="9">
        <f t="shared" si="18"/>
        <v>563</v>
      </c>
      <c r="D47" s="7">
        <f t="shared" si="19"/>
        <v>913</v>
      </c>
      <c r="E47" s="5">
        <f t="shared" si="20"/>
        <v>-156</v>
      </c>
      <c r="F47" s="4">
        <f t="shared" si="21"/>
        <v>-80</v>
      </c>
      <c r="G47" s="9">
        <f t="shared" si="22"/>
        <v>976</v>
      </c>
      <c r="H47" s="7">
        <f t="shared" si="23"/>
        <v>238</v>
      </c>
      <c r="I47" s="5">
        <f t="shared" si="24"/>
        <v>-331</v>
      </c>
      <c r="J47" s="4">
        <f t="shared" si="25"/>
        <v>695</v>
      </c>
      <c r="Q47" s="77"/>
      <c r="R47" s="78"/>
      <c r="S47" s="82"/>
      <c r="T47" s="77"/>
      <c r="U47" s="78"/>
      <c r="V47" s="82"/>
      <c r="W47" s="68"/>
      <c r="X47" s="68"/>
      <c r="Y47" s="68"/>
      <c r="Z47" s="68"/>
    </row>
    <row r="48" spans="1:28" x14ac:dyDescent="0.25">
      <c r="A48" s="3">
        <v>20</v>
      </c>
      <c r="Q48" s="68"/>
      <c r="R48" s="68"/>
      <c r="S48" s="68"/>
      <c r="T48" s="68"/>
      <c r="U48" s="68"/>
      <c r="V48" s="68"/>
      <c r="W48" s="68"/>
    </row>
    <row r="49" spans="3:23" x14ac:dyDescent="0.25">
      <c r="Q49" s="68"/>
      <c r="R49" s="68"/>
      <c r="S49" s="68"/>
      <c r="T49" s="68"/>
      <c r="U49" s="68"/>
      <c r="V49" s="68"/>
      <c r="W49" s="68"/>
    </row>
    <row r="50" spans="3:23" x14ac:dyDescent="0.25">
      <c r="Q50" s="68"/>
      <c r="R50" s="68"/>
      <c r="S50" s="68"/>
      <c r="T50" s="68"/>
      <c r="U50" s="68"/>
      <c r="V50" s="68"/>
      <c r="W50" s="68"/>
    </row>
    <row r="51" spans="3:23" x14ac:dyDescent="0.25">
      <c r="C51" s="3">
        <f>J29</f>
        <v>507</v>
      </c>
      <c r="D51" s="3">
        <f>J30</f>
        <v>926</v>
      </c>
      <c r="E51" s="3">
        <f>J31</f>
        <v>441</v>
      </c>
      <c r="F51" s="3">
        <f>J32</f>
        <v>-785</v>
      </c>
      <c r="H51" s="28">
        <f>C51</f>
        <v>507</v>
      </c>
      <c r="I51" s="28">
        <f>E51</f>
        <v>441</v>
      </c>
      <c r="J51" s="28"/>
      <c r="K51" s="28">
        <f>D51</f>
        <v>926</v>
      </c>
      <c r="L51" s="28">
        <f>F51</f>
        <v>-785</v>
      </c>
      <c r="M51" s="28"/>
      <c r="N51" s="28">
        <f>C52</f>
        <v>703</v>
      </c>
      <c r="O51" s="28">
        <f>E52</f>
        <v>-287</v>
      </c>
      <c r="P51" s="28"/>
      <c r="Q51" s="70">
        <f>D52</f>
        <v>473</v>
      </c>
      <c r="R51" s="70">
        <f>F52</f>
        <v>913</v>
      </c>
      <c r="S51" s="68"/>
      <c r="T51" s="71">
        <f>C51</f>
        <v>507</v>
      </c>
      <c r="U51" s="71">
        <f>F51</f>
        <v>-785</v>
      </c>
      <c r="V51" s="68"/>
      <c r="W51" s="68"/>
    </row>
    <row r="52" spans="3:23" x14ac:dyDescent="0.25">
      <c r="C52" s="3">
        <f>J33</f>
        <v>703</v>
      </c>
      <c r="D52" s="3">
        <f>J34</f>
        <v>473</v>
      </c>
      <c r="E52" s="3">
        <f>J35</f>
        <v>-287</v>
      </c>
      <c r="F52" s="3">
        <f>J36</f>
        <v>913</v>
      </c>
      <c r="H52" s="28">
        <f>C52</f>
        <v>703</v>
      </c>
      <c r="I52" s="28">
        <f>E52</f>
        <v>-287</v>
      </c>
      <c r="J52" s="28"/>
      <c r="K52" s="28">
        <f>D52</f>
        <v>473</v>
      </c>
      <c r="L52" s="28">
        <f>F52</f>
        <v>913</v>
      </c>
      <c r="M52" s="28"/>
      <c r="N52" s="28">
        <f>C53</f>
        <v>563</v>
      </c>
      <c r="O52" s="28">
        <f>E53</f>
        <v>-156</v>
      </c>
      <c r="P52" s="28"/>
      <c r="Q52" s="70">
        <f>D53</f>
        <v>913</v>
      </c>
      <c r="R52" s="70">
        <f>F53</f>
        <v>-80</v>
      </c>
      <c r="S52" s="68"/>
      <c r="T52" s="71">
        <f>C52</f>
        <v>703</v>
      </c>
      <c r="U52" s="71">
        <f>F52</f>
        <v>913</v>
      </c>
      <c r="V52" s="68"/>
      <c r="W52" s="68"/>
    </row>
    <row r="53" spans="3:23" x14ac:dyDescent="0.25">
      <c r="C53" s="3">
        <f>J37</f>
        <v>563</v>
      </c>
      <c r="D53" s="3">
        <f>J38</f>
        <v>913</v>
      </c>
      <c r="E53" s="3">
        <f>J39</f>
        <v>-156</v>
      </c>
      <c r="F53" s="3">
        <f>J40</f>
        <v>-80</v>
      </c>
    </row>
    <row r="54" spans="3:23" x14ac:dyDescent="0.25">
      <c r="C54" s="3">
        <f>J41</f>
        <v>976</v>
      </c>
      <c r="D54" s="3">
        <f>J42</f>
        <v>238</v>
      </c>
      <c r="E54" s="3">
        <f>J43</f>
        <v>-331</v>
      </c>
      <c r="F54" s="3">
        <f>J44</f>
        <v>695</v>
      </c>
    </row>
    <row r="56" spans="3:23" ht="17.25" x14ac:dyDescent="0.3">
      <c r="C56" s="3" t="s">
        <v>107</v>
      </c>
      <c r="D56" s="67">
        <f>MDETERM(C51:D52)</f>
        <v>-411167</v>
      </c>
      <c r="E56" s="67">
        <f>MDETERM(D51:E52)</f>
        <v>-474355</v>
      </c>
      <c r="F56" s="67">
        <f>MDETERM(E51:F52)</f>
        <v>177338</v>
      </c>
      <c r="G56" s="9">
        <f>D57</f>
        <v>375540.00000000006</v>
      </c>
      <c r="H56" s="9">
        <f>E57</f>
        <v>188243</v>
      </c>
      <c r="I56" s="9">
        <f>F57</f>
        <v>165388</v>
      </c>
      <c r="J56" s="9">
        <f>D58</f>
        <v>-757094</v>
      </c>
      <c r="K56" s="9">
        <f>E58</f>
        <v>-265075</v>
      </c>
      <c r="L56" s="9">
        <f>F58</f>
        <v>-134900</v>
      </c>
      <c r="M56" s="65"/>
      <c r="N56" s="5">
        <f>MDETERM(H51:I52)</f>
        <v>-455532</v>
      </c>
      <c r="O56" s="5">
        <f>MDETERM(K51:L52)</f>
        <v>1216743</v>
      </c>
      <c r="P56" s="3">
        <f>N57</f>
        <v>51912.999999999985</v>
      </c>
      <c r="Q56" s="3">
        <f>O57</f>
        <v>-871409</v>
      </c>
      <c r="T56" s="3">
        <f>MDETERM(T51:U52)</f>
        <v>1014745.9999999999</v>
      </c>
    </row>
    <row r="57" spans="3:23" ht="17.25" x14ac:dyDescent="0.3">
      <c r="D57" s="67">
        <f t="shared" ref="D57:F58" si="26">MDETERM(C52:D53)</f>
        <v>375540.00000000006</v>
      </c>
      <c r="E57" s="67">
        <f t="shared" si="26"/>
        <v>188243</v>
      </c>
      <c r="F57" s="67">
        <f t="shared" si="26"/>
        <v>165388</v>
      </c>
      <c r="N57" s="5">
        <f>MDETERM(N51:O52)</f>
        <v>51912.999999999985</v>
      </c>
      <c r="O57" s="5">
        <f>MDETERM(Q51:R52)</f>
        <v>-871409</v>
      </c>
    </row>
    <row r="58" spans="3:23" ht="17.25" x14ac:dyDescent="0.3">
      <c r="D58" s="67">
        <f t="shared" si="26"/>
        <v>-757094</v>
      </c>
      <c r="E58" s="67">
        <f t="shared" si="26"/>
        <v>-265075</v>
      </c>
      <c r="F58" s="67">
        <f t="shared" si="26"/>
        <v>-134900</v>
      </c>
    </row>
    <row r="61" spans="3:23" x14ac:dyDescent="0.25">
      <c r="C61" s="3" t="s">
        <v>108</v>
      </c>
      <c r="D61" s="3">
        <f>MDETERM(C51:E53)</f>
        <v>212980903.00000006</v>
      </c>
      <c r="E61" s="3">
        <f>MDETERM(D51:F53)</f>
        <v>389669902</v>
      </c>
      <c r="F61" s="3">
        <f>D62</f>
        <v>47066134</v>
      </c>
      <c r="G61" s="3">
        <f>E62</f>
        <v>-118245149.99999999</v>
      </c>
    </row>
    <row r="62" spans="3:23" x14ac:dyDescent="0.25">
      <c r="D62" s="3">
        <f>MDETERM(C52:E54)</f>
        <v>47066134</v>
      </c>
      <c r="E62" s="3">
        <f>MDETERM(D52:F54)</f>
        <v>-118245149.99999999</v>
      </c>
    </row>
    <row r="65" spans="3:4" x14ac:dyDescent="0.25">
      <c r="C65" s="3" t="s">
        <v>109</v>
      </c>
      <c r="D65" s="3">
        <f>MDETERM(C51:F54)</f>
        <v>-231212925026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D1BE-C64B-4165-ABB9-E0E444F6D9F8}">
  <dimension ref="A1:AM65"/>
  <sheetViews>
    <sheetView zoomScale="70" zoomScaleNormal="70" workbookViewId="0">
      <selection activeCell="AC15" sqref="AC15"/>
    </sheetView>
  </sheetViews>
  <sheetFormatPr defaultRowHeight="15.75" x14ac:dyDescent="0.25"/>
  <cols>
    <col min="1" max="1" width="5.42578125" bestFit="1" customWidth="1"/>
    <col min="2" max="2" width="11" bestFit="1" customWidth="1"/>
    <col min="3" max="10" width="16" bestFit="1" customWidth="1"/>
    <col min="11" max="12" width="18.28515625" bestFit="1" customWidth="1"/>
    <col min="13" max="13" width="17.7109375" bestFit="1" customWidth="1"/>
    <col min="14" max="14" width="12.140625" bestFit="1" customWidth="1"/>
    <col min="15" max="15" width="10" bestFit="1" customWidth="1"/>
    <col min="16" max="16" width="9.5703125" bestFit="1" customWidth="1"/>
    <col min="17" max="18" width="18.28515625" bestFit="1" customWidth="1"/>
    <col min="19" max="19" width="17.7109375" bestFit="1" customWidth="1"/>
    <col min="20" max="22" width="9.5703125" bestFit="1" customWidth="1"/>
    <col min="23" max="23" width="5.42578125" bestFit="1" customWidth="1"/>
    <col min="24" max="24" width="34.5703125" bestFit="1" customWidth="1"/>
    <col min="25" max="25" width="15.28515625" bestFit="1" customWidth="1"/>
    <col min="26" max="26" width="36.7109375" bestFit="1" customWidth="1"/>
    <col min="27" max="27" width="24.85546875" bestFit="1" customWidth="1"/>
    <col min="28" max="28" width="9.140625" bestFit="1" customWidth="1"/>
    <col min="29" max="29" width="13.5703125" bestFit="1" customWidth="1"/>
    <col min="30" max="33" width="27.85546875" bestFit="1" customWidth="1"/>
    <col min="34" max="34" width="27.42578125" bestFit="1" customWidth="1"/>
    <col min="35" max="37" width="26.28515625" bestFit="1" customWidth="1"/>
    <col min="38" max="38" width="25.85546875" bestFit="1" customWidth="1"/>
    <col min="39" max="39" width="24.85546875" bestFit="1" customWidth="1"/>
  </cols>
  <sheetData>
    <row r="1" spans="1:39" x14ac:dyDescent="0.25">
      <c r="A1" s="3" t="s">
        <v>1</v>
      </c>
      <c r="B1" s="3" t="s">
        <v>2</v>
      </c>
      <c r="C1" s="9" t="s">
        <v>121</v>
      </c>
      <c r="D1" s="7" t="s">
        <v>122</v>
      </c>
      <c r="E1" s="5" t="s">
        <v>123</v>
      </c>
      <c r="F1" s="4" t="s">
        <v>124</v>
      </c>
      <c r="G1" s="9" t="s">
        <v>125</v>
      </c>
      <c r="H1" s="7" t="s">
        <v>126</v>
      </c>
      <c r="I1" s="5" t="s">
        <v>127</v>
      </c>
      <c r="J1" s="4" t="s">
        <v>128</v>
      </c>
      <c r="K1" s="9" t="s">
        <v>12</v>
      </c>
      <c r="L1" s="5"/>
      <c r="M1" s="4"/>
      <c r="N1" s="72" t="s">
        <v>120</v>
      </c>
      <c r="O1" s="30" t="s">
        <v>129</v>
      </c>
      <c r="P1" s="79" t="s">
        <v>131</v>
      </c>
      <c r="W1" s="3" t="s">
        <v>1</v>
      </c>
      <c r="X1" s="3" t="s">
        <v>36</v>
      </c>
      <c r="Y1" s="3" t="s">
        <v>80</v>
      </c>
      <c r="AA1" s="3" t="s">
        <v>1</v>
      </c>
      <c r="AB1" s="3" t="s">
        <v>22</v>
      </c>
      <c r="AC1" s="68" t="s">
        <v>15</v>
      </c>
      <c r="AD1" s="68" t="str">
        <f>LEFT(AC1, LEN(AC1)-2) &amp; "1]"</f>
        <v>det22_reg [1]</v>
      </c>
      <c r="AE1" s="3" t="s">
        <v>16</v>
      </c>
      <c r="AF1" s="3" t="s">
        <v>17</v>
      </c>
      <c r="AG1" s="3" t="s">
        <v>14</v>
      </c>
      <c r="AH1" s="3" t="s">
        <v>18</v>
      </c>
      <c r="AI1" s="3" t="s">
        <v>19</v>
      </c>
      <c r="AJ1" s="3" t="s">
        <v>20</v>
      </c>
      <c r="AK1" s="3" t="s">
        <v>33</v>
      </c>
      <c r="AL1" s="3" t="s">
        <v>23</v>
      </c>
      <c r="AM1" s="3" t="s">
        <v>1</v>
      </c>
    </row>
    <row r="2" spans="1:39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72"/>
      <c r="O2" s="30"/>
      <c r="P2" s="79"/>
      <c r="W2" s="3">
        <v>0</v>
      </c>
      <c r="X2" s="3" t="s">
        <v>71</v>
      </c>
      <c r="Y2" s="3"/>
      <c r="AA2" s="3">
        <v>0</v>
      </c>
      <c r="AB2" s="3"/>
      <c r="AC2" s="68" t="s">
        <v>75</v>
      </c>
      <c r="AD2" s="3" t="s">
        <v>74</v>
      </c>
      <c r="AE2" s="3" t="s">
        <v>96</v>
      </c>
      <c r="AF2" s="3" t="s">
        <v>78</v>
      </c>
      <c r="AG2" s="3" t="s">
        <v>76</v>
      </c>
      <c r="AH2" s="3" t="s">
        <v>73</v>
      </c>
      <c r="AI2" s="3" t="s">
        <v>72</v>
      </c>
      <c r="AJ2" s="3" t="s">
        <v>79</v>
      </c>
      <c r="AK2" s="3" t="s">
        <v>77</v>
      </c>
      <c r="AL2" s="3"/>
      <c r="AM2" s="3">
        <v>0</v>
      </c>
    </row>
    <row r="3" spans="1:39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72"/>
      <c r="O3" s="30"/>
      <c r="P3" s="79"/>
      <c r="W3" s="3">
        <v>1</v>
      </c>
      <c r="X3" s="3"/>
      <c r="Y3" s="3"/>
      <c r="AA3" s="3">
        <v>1</v>
      </c>
      <c r="AB3" s="3"/>
      <c r="AC3" s="68"/>
      <c r="AD3" s="3"/>
      <c r="AE3" s="3"/>
      <c r="AF3" s="3"/>
      <c r="AG3" s="3"/>
      <c r="AH3" s="3"/>
      <c r="AI3" s="3"/>
      <c r="AJ3" s="3"/>
      <c r="AK3" s="3"/>
      <c r="AL3" s="3"/>
      <c r="AM3" s="3">
        <v>1</v>
      </c>
    </row>
    <row r="4" spans="1:39" ht="16.5" thickBot="1" x14ac:dyDescent="0.3">
      <c r="A4" s="3">
        <v>2</v>
      </c>
      <c r="B4" s="3">
        <v>2</v>
      </c>
      <c r="C4" s="9" t="str">
        <f t="shared" ref="C4:I18" si="0">D3</f>
        <v>X</v>
      </c>
      <c r="D4" s="7" t="str">
        <f t="shared" si="0"/>
        <v>X</v>
      </c>
      <c r="E4" s="5" t="str">
        <f t="shared" si="0"/>
        <v>X</v>
      </c>
      <c r="F4" s="4" t="str">
        <f t="shared" si="0"/>
        <v>X</v>
      </c>
      <c r="G4" s="9" t="str">
        <f t="shared" si="0"/>
        <v>X</v>
      </c>
      <c r="H4" s="7" t="str">
        <f t="shared" si="0"/>
        <v>X</v>
      </c>
      <c r="I4" s="5">
        <f>J3</f>
        <v>1</v>
      </c>
      <c r="J4" s="4">
        <v>2</v>
      </c>
      <c r="K4" s="9"/>
      <c r="L4" s="5"/>
      <c r="M4" s="4"/>
      <c r="N4" s="72"/>
      <c r="O4" s="30"/>
      <c r="P4" s="79"/>
      <c r="W4" s="3">
        <v>2</v>
      </c>
      <c r="X4" s="3"/>
      <c r="Y4" s="3"/>
      <c r="AA4" s="3">
        <v>2</v>
      </c>
      <c r="AB4" s="3"/>
      <c r="AC4" s="68"/>
      <c r="AD4" s="3"/>
      <c r="AE4" s="3"/>
      <c r="AF4" s="3"/>
      <c r="AG4" s="3"/>
      <c r="AH4" s="3"/>
      <c r="AI4" s="3"/>
      <c r="AJ4" s="3"/>
      <c r="AK4" s="3"/>
      <c r="AL4" s="3"/>
      <c r="AM4" s="3">
        <v>2</v>
      </c>
    </row>
    <row r="5" spans="1:39" x14ac:dyDescent="0.25">
      <c r="A5" s="3">
        <v>3</v>
      </c>
      <c r="B5" s="3">
        <v>3</v>
      </c>
      <c r="C5" s="9" t="str">
        <f t="shared" si="0"/>
        <v>X</v>
      </c>
      <c r="D5" s="7" t="str">
        <f t="shared" si="0"/>
        <v>X</v>
      </c>
      <c r="E5" s="5" t="str">
        <f t="shared" si="0"/>
        <v>X</v>
      </c>
      <c r="F5" s="4" t="str">
        <f t="shared" si="0"/>
        <v>X</v>
      </c>
      <c r="G5" s="9" t="str">
        <f t="shared" si="0"/>
        <v>X</v>
      </c>
      <c r="H5" s="7">
        <f t="shared" si="0"/>
        <v>1</v>
      </c>
      <c r="I5" s="5">
        <f t="shared" si="0"/>
        <v>2</v>
      </c>
      <c r="J5" s="4">
        <v>3</v>
      </c>
      <c r="K5" s="9"/>
      <c r="L5" s="5"/>
      <c r="M5" s="4"/>
      <c r="N5" s="73"/>
      <c r="O5" s="74"/>
      <c r="P5" s="80"/>
      <c r="W5" s="3">
        <v>3</v>
      </c>
      <c r="X5" s="3"/>
      <c r="Y5" s="3"/>
      <c r="AA5" s="3">
        <v>3</v>
      </c>
      <c r="AB5" s="3"/>
      <c r="AC5" s="68"/>
      <c r="AD5" s="3"/>
      <c r="AE5" s="3"/>
      <c r="AF5" s="3"/>
      <c r="AG5" s="3"/>
      <c r="AH5" s="3"/>
      <c r="AI5" s="3"/>
      <c r="AJ5" s="3"/>
      <c r="AK5" s="3"/>
      <c r="AL5" s="3"/>
      <c r="AM5" s="3">
        <v>3</v>
      </c>
    </row>
    <row r="6" spans="1:39" x14ac:dyDescent="0.25">
      <c r="A6" s="3">
        <v>4</v>
      </c>
      <c r="B6" s="3">
        <v>4</v>
      </c>
      <c r="C6" s="9" t="str">
        <f t="shared" si="0"/>
        <v>X</v>
      </c>
      <c r="D6" s="7" t="str">
        <f t="shared" si="0"/>
        <v>X</v>
      </c>
      <c r="E6" s="5" t="str">
        <f t="shared" si="0"/>
        <v>X</v>
      </c>
      <c r="F6" s="4" t="str">
        <f t="shared" si="0"/>
        <v>X</v>
      </c>
      <c r="G6" s="9">
        <f t="shared" si="0"/>
        <v>1</v>
      </c>
      <c r="H6" s="7">
        <f t="shared" si="0"/>
        <v>2</v>
      </c>
      <c r="I6" s="5">
        <f t="shared" si="0"/>
        <v>3</v>
      </c>
      <c r="J6" s="4">
        <v>4</v>
      </c>
      <c r="K6" s="9"/>
      <c r="L6" s="5"/>
      <c r="M6" s="4"/>
      <c r="N6" s="75"/>
      <c r="O6" s="76"/>
      <c r="P6" s="81"/>
      <c r="W6" s="3">
        <v>4</v>
      </c>
      <c r="X6" s="3"/>
      <c r="Y6" s="3"/>
      <c r="AA6" s="3">
        <v>4</v>
      </c>
      <c r="AB6" s="3"/>
      <c r="AC6" s="68"/>
      <c r="AD6" s="3"/>
      <c r="AE6" s="3"/>
      <c r="AF6" s="3"/>
      <c r="AG6" s="3"/>
      <c r="AH6" s="3"/>
      <c r="AI6" s="3"/>
      <c r="AJ6" s="3"/>
      <c r="AK6" s="3"/>
      <c r="AL6" s="3"/>
      <c r="AM6" s="3">
        <v>4</v>
      </c>
    </row>
    <row r="7" spans="1:39" x14ac:dyDescent="0.25">
      <c r="A7" s="3">
        <v>5</v>
      </c>
      <c r="B7" s="3">
        <v>5</v>
      </c>
      <c r="C7" s="9" t="str">
        <f t="shared" si="0"/>
        <v>X</v>
      </c>
      <c r="D7" s="7" t="str">
        <f t="shared" si="0"/>
        <v>X</v>
      </c>
      <c r="E7" s="5" t="str">
        <f t="shared" si="0"/>
        <v>X</v>
      </c>
      <c r="F7" s="4">
        <f t="shared" si="0"/>
        <v>1</v>
      </c>
      <c r="G7" s="9">
        <f t="shared" si="0"/>
        <v>2</v>
      </c>
      <c r="H7" s="7">
        <f t="shared" si="0"/>
        <v>3</v>
      </c>
      <c r="I7" s="5">
        <f t="shared" si="0"/>
        <v>4</v>
      </c>
      <c r="J7" s="4">
        <v>5</v>
      </c>
      <c r="K7" s="9"/>
      <c r="L7" s="5"/>
      <c r="M7" s="4"/>
      <c r="N7" s="75"/>
      <c r="O7" s="76"/>
      <c r="P7" s="81"/>
      <c r="W7" s="3">
        <v>5</v>
      </c>
      <c r="X7" s="3"/>
      <c r="Y7" s="3"/>
      <c r="AA7" s="3">
        <v>5</v>
      </c>
      <c r="AB7" s="3"/>
      <c r="AC7" s="68"/>
      <c r="AD7" s="3"/>
      <c r="AE7" s="3"/>
      <c r="AF7" s="3"/>
      <c r="AG7" s="3"/>
      <c r="AH7" s="3"/>
      <c r="AI7" s="3"/>
      <c r="AJ7" s="3"/>
      <c r="AK7" s="3"/>
      <c r="AL7" s="3"/>
      <c r="AM7" s="3">
        <v>5</v>
      </c>
    </row>
    <row r="8" spans="1:39" x14ac:dyDescent="0.25">
      <c r="A8" s="3">
        <v>6</v>
      </c>
      <c r="B8" s="3">
        <v>6</v>
      </c>
      <c r="C8" s="9" t="str">
        <f t="shared" si="0"/>
        <v>X</v>
      </c>
      <c r="D8" s="7" t="str">
        <f t="shared" si="0"/>
        <v>X</v>
      </c>
      <c r="E8" s="5">
        <f t="shared" si="0"/>
        <v>1</v>
      </c>
      <c r="F8" s="4">
        <f t="shared" si="0"/>
        <v>2</v>
      </c>
      <c r="G8" s="9">
        <f t="shared" si="0"/>
        <v>3</v>
      </c>
      <c r="H8" s="7">
        <f t="shared" si="0"/>
        <v>4</v>
      </c>
      <c r="I8" s="5">
        <f t="shared" si="0"/>
        <v>5</v>
      </c>
      <c r="J8" s="4">
        <v>6</v>
      </c>
      <c r="K8" s="9"/>
      <c r="L8" s="5"/>
      <c r="M8" s="4"/>
      <c r="N8" s="75" t="str">
        <f>E8 &amp; "," &amp; F8 &amp; CHAR(10) &amp; I8 &amp; "," &amp; J8</f>
        <v>1,2
5,6</v>
      </c>
      <c r="O8" s="76"/>
      <c r="P8" s="81"/>
      <c r="W8" s="3">
        <v>6</v>
      </c>
      <c r="X8" s="3"/>
      <c r="Y8" s="3"/>
      <c r="AA8" s="3">
        <v>6</v>
      </c>
      <c r="AB8" s="3"/>
      <c r="AC8" s="68"/>
      <c r="AD8" s="3"/>
      <c r="AE8" s="3"/>
      <c r="AF8" s="3"/>
      <c r="AG8" s="3"/>
      <c r="AH8" s="3"/>
      <c r="AI8" s="3"/>
      <c r="AJ8" s="3"/>
      <c r="AK8" s="3"/>
      <c r="AL8" s="3"/>
      <c r="AM8" s="3">
        <v>6</v>
      </c>
    </row>
    <row r="9" spans="1:39" ht="16.5" thickBot="1" x14ac:dyDescent="0.3">
      <c r="A9" s="3">
        <v>7</v>
      </c>
      <c r="B9" s="3">
        <v>7</v>
      </c>
      <c r="C9" s="9" t="str">
        <f t="shared" si="0"/>
        <v>X</v>
      </c>
      <c r="D9" s="7">
        <f t="shared" si="0"/>
        <v>1</v>
      </c>
      <c r="E9" s="5">
        <f t="shared" si="0"/>
        <v>2</v>
      </c>
      <c r="F9" s="4">
        <f t="shared" si="0"/>
        <v>3</v>
      </c>
      <c r="G9" s="9">
        <f t="shared" si="0"/>
        <v>4</v>
      </c>
      <c r="H9" s="7">
        <f t="shared" si="0"/>
        <v>5</v>
      </c>
      <c r="I9" s="5">
        <f t="shared" si="0"/>
        <v>6</v>
      </c>
      <c r="J9" s="4">
        <v>7</v>
      </c>
      <c r="K9" s="9"/>
      <c r="L9" s="5"/>
      <c r="M9" s="4"/>
      <c r="N9" s="75" t="str">
        <f t="shared" ref="N9:N14" si="1">E9 &amp; "," &amp; F9 &amp; CHAR(10) &amp; I9 &amp; "," &amp; J9</f>
        <v>2,3
6,7</v>
      </c>
      <c r="O9" s="76" t="str">
        <f>D9 &amp; "," &amp; F9 &amp; CHAR(10) &amp; H9 &amp; "," &amp; J9</f>
        <v>1,3
5,7</v>
      </c>
      <c r="P9" s="81"/>
      <c r="W9" s="3">
        <v>7</v>
      </c>
      <c r="X9" s="3"/>
      <c r="Y9" s="3"/>
      <c r="AA9" s="3">
        <v>7</v>
      </c>
      <c r="AB9" s="3"/>
      <c r="AC9" s="68"/>
      <c r="AD9" s="3"/>
      <c r="AE9" s="3"/>
      <c r="AF9" s="3"/>
      <c r="AG9" s="3" t="str">
        <f>N8</f>
        <v>1,2
5,6</v>
      </c>
      <c r="AH9" s="3"/>
      <c r="AI9" s="3"/>
      <c r="AJ9" s="3"/>
      <c r="AK9" s="3"/>
      <c r="AL9" s="3"/>
      <c r="AM9" s="3">
        <v>7</v>
      </c>
    </row>
    <row r="10" spans="1:39" ht="16.5" thickBot="1" x14ac:dyDescent="0.3">
      <c r="A10" s="3">
        <v>8</v>
      </c>
      <c r="B10" s="11">
        <v>8</v>
      </c>
      <c r="C10" s="12">
        <f t="shared" si="0"/>
        <v>1</v>
      </c>
      <c r="D10" s="13">
        <f t="shared" si="0"/>
        <v>2</v>
      </c>
      <c r="E10" s="14">
        <f t="shared" si="0"/>
        <v>3</v>
      </c>
      <c r="F10" s="15">
        <f t="shared" si="0"/>
        <v>4</v>
      </c>
      <c r="G10" s="12">
        <f t="shared" si="0"/>
        <v>5</v>
      </c>
      <c r="H10" s="13">
        <f t="shared" si="0"/>
        <v>6</v>
      </c>
      <c r="I10" s="14">
        <f t="shared" si="0"/>
        <v>7</v>
      </c>
      <c r="J10" s="16">
        <v>8</v>
      </c>
      <c r="K10" s="9" t="str">
        <f>E8 &amp; "," &amp; F8 &amp; CHAR(10) &amp; I8 &amp; "," &amp; J8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75" t="str">
        <f t="shared" si="1"/>
        <v>3,4
7,8</v>
      </c>
      <c r="O10" s="76" t="str">
        <f t="shared" ref="O10:O14" si="2">D10 &amp; "," &amp; F10 &amp; CHAR(10) &amp; H10 &amp; "," &amp; J10</f>
        <v>2,4
6,8</v>
      </c>
      <c r="P10" s="81" t="str">
        <f>C10 &amp; "," &amp; F10 &amp; CHAR(10) &amp; G10 &amp; "," &amp; J10</f>
        <v>1,4
5,8</v>
      </c>
      <c r="W10" s="3">
        <v>8</v>
      </c>
      <c r="X10" s="3"/>
      <c r="Y10" s="3"/>
      <c r="AA10" s="3">
        <v>8</v>
      </c>
      <c r="AB10" s="3"/>
      <c r="AC10" s="68"/>
      <c r="AD10" s="3"/>
      <c r="AE10" s="3"/>
      <c r="AF10" s="3" t="str">
        <f>AG9</f>
        <v>1,2
5,6</v>
      </c>
      <c r="AG10" s="3" t="str">
        <f>N9</f>
        <v>2,3
6,7</v>
      </c>
      <c r="AH10" s="3"/>
      <c r="AI10" s="3"/>
      <c r="AJ10" s="3"/>
      <c r="AK10" s="3" t="str">
        <f>O9</f>
        <v>1,3
5,7</v>
      </c>
      <c r="AL10" s="27" t="s">
        <v>32</v>
      </c>
      <c r="AM10" s="3">
        <v>8</v>
      </c>
    </row>
    <row r="11" spans="1:39" x14ac:dyDescent="0.25">
      <c r="A11" s="3">
        <v>9</v>
      </c>
      <c r="B11" s="3">
        <v>9</v>
      </c>
      <c r="C11" s="9">
        <f t="shared" si="0"/>
        <v>2</v>
      </c>
      <c r="D11" s="7">
        <f t="shared" si="0"/>
        <v>3</v>
      </c>
      <c r="E11" s="5">
        <f t="shared" si="0"/>
        <v>4</v>
      </c>
      <c r="F11" s="4">
        <f t="shared" si="0"/>
        <v>5</v>
      </c>
      <c r="G11" s="9">
        <f t="shared" si="0"/>
        <v>6</v>
      </c>
      <c r="H11" s="7">
        <f t="shared" si="0"/>
        <v>7</v>
      </c>
      <c r="I11" s="5">
        <f t="shared" si="0"/>
        <v>8</v>
      </c>
      <c r="J11" s="4">
        <v>9</v>
      </c>
      <c r="K11" s="9" t="str">
        <f t="shared" ref="K11:K18" si="3">C11 &amp; "," &amp; D11 &amp; CHAR(10) &amp; G11 &amp; "," &amp; H11</f>
        <v>2,3
6,7</v>
      </c>
      <c r="L11" s="5" t="str">
        <f t="shared" ref="L11:L15" si="4">C11 &amp; "," &amp; E11 &amp; CHAR(10) &amp; G11 &amp; "," &amp; I11</f>
        <v>2,4
6,8</v>
      </c>
      <c r="M11" s="4"/>
      <c r="N11" s="75"/>
      <c r="O11" s="76"/>
      <c r="P11" s="81"/>
      <c r="W11" s="3">
        <v>9</v>
      </c>
      <c r="X11" s="3"/>
      <c r="Y11" s="3"/>
      <c r="AA11" s="3">
        <v>9</v>
      </c>
      <c r="AB11" s="3"/>
      <c r="AC11" s="68"/>
      <c r="AD11" s="3"/>
      <c r="AE11" s="3" t="str">
        <f>AF10</f>
        <v>1,2
5,6</v>
      </c>
      <c r="AF11" s="3" t="str">
        <f>AG10</f>
        <v>2,3
6,7</v>
      </c>
      <c r="AG11" s="3" t="str">
        <f>N10</f>
        <v>3,4
7,8</v>
      </c>
      <c r="AH11" s="3"/>
      <c r="AI11" s="3"/>
      <c r="AJ11" s="3" t="str">
        <f>AK10</f>
        <v>1,3
5,7</v>
      </c>
      <c r="AK11" s="3" t="str">
        <f>O10</f>
        <v>2,4
6,8</v>
      </c>
      <c r="AL11" s="27" t="s">
        <v>31</v>
      </c>
      <c r="AM11" s="3">
        <v>9</v>
      </c>
    </row>
    <row r="12" spans="1:39" x14ac:dyDescent="0.25">
      <c r="A12" s="3">
        <v>10</v>
      </c>
      <c r="B12" s="3">
        <v>10</v>
      </c>
      <c r="C12" s="9">
        <f t="shared" si="0"/>
        <v>3</v>
      </c>
      <c r="D12" s="7">
        <f t="shared" si="0"/>
        <v>4</v>
      </c>
      <c r="E12" s="5">
        <f t="shared" si="0"/>
        <v>5</v>
      </c>
      <c r="F12" s="4">
        <f t="shared" si="0"/>
        <v>6</v>
      </c>
      <c r="G12" s="9">
        <f t="shared" si="0"/>
        <v>7</v>
      </c>
      <c r="H12" s="7">
        <f t="shared" si="0"/>
        <v>8</v>
      </c>
      <c r="I12" s="5">
        <f t="shared" si="0"/>
        <v>9</v>
      </c>
      <c r="J12" s="4">
        <v>10</v>
      </c>
      <c r="K12" s="9" t="str">
        <f t="shared" si="3"/>
        <v>3,4
7,8</v>
      </c>
      <c r="L12" s="5"/>
      <c r="M12" s="4"/>
      <c r="N12" s="75" t="str">
        <f t="shared" si="1"/>
        <v>5,6
9,10</v>
      </c>
      <c r="O12" s="76"/>
      <c r="P12" s="81"/>
      <c r="W12" s="3">
        <v>10</v>
      </c>
      <c r="X12" s="3" t="s">
        <v>39</v>
      </c>
      <c r="Y12" s="3"/>
      <c r="Z12" s="3" t="s">
        <v>42</v>
      </c>
      <c r="AA12" s="3">
        <v>10</v>
      </c>
      <c r="AB12" s="3"/>
      <c r="AC12" s="68"/>
      <c r="AD12" s="3"/>
      <c r="AE12" s="3" t="str">
        <f>AE11</f>
        <v>1,2
5,6</v>
      </c>
      <c r="AF12" s="3" t="str">
        <f>AF11</f>
        <v>2,3
6,7</v>
      </c>
      <c r="AG12" s="3" t="str">
        <f>AG11</f>
        <v>3,4
7,8</v>
      </c>
      <c r="AH12" s="3"/>
      <c r="AI12" s="3"/>
      <c r="AJ12" s="3" t="str">
        <f>AJ11</f>
        <v>1,3
5,7</v>
      </c>
      <c r="AK12" s="3" t="str">
        <f>AK11</f>
        <v>2,4
6,8</v>
      </c>
      <c r="AL12" s="27" t="s">
        <v>30</v>
      </c>
      <c r="AM12" s="3">
        <v>10</v>
      </c>
    </row>
    <row r="13" spans="1:39" x14ac:dyDescent="0.25">
      <c r="A13" s="3">
        <v>11</v>
      </c>
      <c r="B13" s="3">
        <v>11</v>
      </c>
      <c r="C13" s="9">
        <f t="shared" si="0"/>
        <v>4</v>
      </c>
      <c r="D13" s="7">
        <f t="shared" si="0"/>
        <v>5</v>
      </c>
      <c r="E13" s="5">
        <f t="shared" si="0"/>
        <v>6</v>
      </c>
      <c r="F13" s="4">
        <f t="shared" si="0"/>
        <v>7</v>
      </c>
      <c r="G13" s="9">
        <f t="shared" si="0"/>
        <v>8</v>
      </c>
      <c r="H13" s="7">
        <f t="shared" si="0"/>
        <v>9</v>
      </c>
      <c r="I13" s="5">
        <f t="shared" si="0"/>
        <v>10</v>
      </c>
      <c r="J13" s="4">
        <v>11</v>
      </c>
      <c r="K13" s="9" t="s">
        <v>0</v>
      </c>
      <c r="L13" s="5"/>
      <c r="M13" s="4"/>
      <c r="N13" s="75" t="str">
        <f t="shared" si="1"/>
        <v>6,7
10,11</v>
      </c>
      <c r="O13" s="76" t="str">
        <f t="shared" si="2"/>
        <v>5,7
9,11</v>
      </c>
      <c r="P13" s="81"/>
      <c r="W13" s="3">
        <v>11</v>
      </c>
      <c r="X13" s="3" t="s">
        <v>97</v>
      </c>
      <c r="Y13" s="3"/>
      <c r="Z13" s="3" t="s">
        <v>98</v>
      </c>
      <c r="AA13" s="3">
        <v>11</v>
      </c>
      <c r="AB13" s="3"/>
      <c r="AC13" s="68"/>
      <c r="AD13" s="3" t="str">
        <f>AE12</f>
        <v>1,2
5,6</v>
      </c>
      <c r="AE13" s="3" t="str">
        <f t="shared" ref="AE13:AF13" si="5">AF12</f>
        <v>2,3
6,7</v>
      </c>
      <c r="AF13" s="3" t="str">
        <f t="shared" si="5"/>
        <v>3,4
7,8</v>
      </c>
      <c r="AG13" s="3" t="str">
        <f>N12</f>
        <v>5,6
9,10</v>
      </c>
      <c r="AH13" s="3"/>
      <c r="AI13" s="3"/>
      <c r="AJ13" s="3" t="str">
        <f t="shared" ref="AJ13" si="6">AJ12</f>
        <v>1,3
5,7</v>
      </c>
      <c r="AK13" s="3" t="str">
        <f>AK11</f>
        <v>2,4
6,8</v>
      </c>
      <c r="AL13" s="3" t="s">
        <v>29</v>
      </c>
      <c r="AM13" s="3">
        <v>11</v>
      </c>
    </row>
    <row r="14" spans="1:39" x14ac:dyDescent="0.25">
      <c r="A14" s="3">
        <v>12</v>
      </c>
      <c r="B14" s="3">
        <v>12</v>
      </c>
      <c r="C14" s="9">
        <f t="shared" si="0"/>
        <v>5</v>
      </c>
      <c r="D14" s="7">
        <f t="shared" si="0"/>
        <v>6</v>
      </c>
      <c r="E14" s="5">
        <f t="shared" si="0"/>
        <v>7</v>
      </c>
      <c r="F14" s="4">
        <f t="shared" si="0"/>
        <v>8</v>
      </c>
      <c r="G14" s="9">
        <f t="shared" si="0"/>
        <v>9</v>
      </c>
      <c r="H14" s="7">
        <f t="shared" si="0"/>
        <v>10</v>
      </c>
      <c r="I14" s="5">
        <f t="shared" si="0"/>
        <v>11</v>
      </c>
      <c r="J14" s="4">
        <v>12</v>
      </c>
      <c r="K14" s="9" t="str">
        <f t="shared" si="3"/>
        <v>5,6
9,10</v>
      </c>
      <c r="L14" s="5" t="str">
        <f t="shared" si="4"/>
        <v>5,7
9,11</v>
      </c>
      <c r="M14" s="4"/>
      <c r="N14" s="75" t="str">
        <f t="shared" si="1"/>
        <v>7,8
11,12</v>
      </c>
      <c r="O14" s="76" t="str">
        <f t="shared" si="2"/>
        <v>6,8
10,12</v>
      </c>
      <c r="P14" s="81"/>
      <c r="W14" s="3">
        <v>12</v>
      </c>
      <c r="X14" s="3"/>
      <c r="Y14" s="3"/>
      <c r="AA14" s="3">
        <v>12</v>
      </c>
      <c r="AB14" s="3"/>
      <c r="AC14" s="68" t="str">
        <f>AD13</f>
        <v>1,2
5,6</v>
      </c>
      <c r="AD14" s="3" t="str">
        <f>AE13</f>
        <v>2,3
6,7</v>
      </c>
      <c r="AE14" s="3" t="str">
        <f>AF13</f>
        <v>3,4
7,8</v>
      </c>
      <c r="AF14" s="3" t="str">
        <f>AG13</f>
        <v>5,6
9,10</v>
      </c>
      <c r="AG14" s="3" t="str">
        <f>N13</f>
        <v>6,7
10,11</v>
      </c>
      <c r="AH14" s="3">
        <f t="shared" ref="AH14:AJ15" si="7">AI13</f>
        <v>0</v>
      </c>
      <c r="AI14" s="3" t="str">
        <f>AJ13</f>
        <v>1,3
5,7</v>
      </c>
      <c r="AJ14" s="3" t="str">
        <f>AK13</f>
        <v>2,4
6,8</v>
      </c>
      <c r="AK14" s="3" t="str">
        <f>O13</f>
        <v>5,7
9,11</v>
      </c>
      <c r="AL14" s="27" t="s">
        <v>28</v>
      </c>
      <c r="AM14" s="3">
        <v>12</v>
      </c>
    </row>
    <row r="15" spans="1:39" x14ac:dyDescent="0.25">
      <c r="A15" s="3">
        <v>13</v>
      </c>
      <c r="B15" s="3">
        <v>13</v>
      </c>
      <c r="C15" s="9">
        <f t="shared" si="0"/>
        <v>6</v>
      </c>
      <c r="D15" s="7">
        <f t="shared" si="0"/>
        <v>7</v>
      </c>
      <c r="E15" s="5">
        <f t="shared" si="0"/>
        <v>8</v>
      </c>
      <c r="F15" s="4">
        <f t="shared" si="0"/>
        <v>9</v>
      </c>
      <c r="G15" s="9">
        <f t="shared" si="0"/>
        <v>10</v>
      </c>
      <c r="H15" s="7">
        <f t="shared" si="0"/>
        <v>11</v>
      </c>
      <c r="I15" s="5">
        <f t="shared" si="0"/>
        <v>12</v>
      </c>
      <c r="J15" s="4">
        <v>13</v>
      </c>
      <c r="K15" s="9" t="str">
        <f t="shared" si="3"/>
        <v>6,7
10,11</v>
      </c>
      <c r="L15" s="5" t="str">
        <f t="shared" si="4"/>
        <v>6,8
10,12</v>
      </c>
      <c r="M15" s="4"/>
      <c r="N15" s="75"/>
      <c r="O15" s="76"/>
      <c r="P15" s="81"/>
      <c r="W15" s="3">
        <v>13</v>
      </c>
      <c r="X15" s="3" t="s">
        <v>43</v>
      </c>
      <c r="Y15" s="3"/>
      <c r="AA15" s="3">
        <v>13</v>
      </c>
      <c r="AB15" s="3"/>
      <c r="AC15" s="84" t="str">
        <f t="shared" ref="AC15:AF15" si="8">AD14</f>
        <v>2,3
6,7</v>
      </c>
      <c r="AD15" s="72" t="str">
        <f t="shared" si="8"/>
        <v>3,4
7,8</v>
      </c>
      <c r="AE15" s="72" t="str">
        <f t="shared" si="8"/>
        <v>5,6
9,10</v>
      </c>
      <c r="AF15" s="72" t="str">
        <f t="shared" si="8"/>
        <v>6,7
10,11</v>
      </c>
      <c r="AG15" s="72" t="str">
        <f>N14</f>
        <v>7,8
11,12</v>
      </c>
      <c r="AH15" s="28" t="str">
        <f t="shared" si="7"/>
        <v>1,3
5,7</v>
      </c>
      <c r="AI15" s="28" t="str">
        <f t="shared" si="7"/>
        <v>2,4
6,8</v>
      </c>
      <c r="AJ15" s="28" t="str">
        <f t="shared" si="7"/>
        <v>5,7
9,11</v>
      </c>
      <c r="AK15" s="28" t="str">
        <f>O14</f>
        <v>6,8
10,12</v>
      </c>
      <c r="AL15" s="27" t="s">
        <v>27</v>
      </c>
      <c r="AM15" s="3">
        <v>13</v>
      </c>
    </row>
    <row r="16" spans="1:39" x14ac:dyDescent="0.25">
      <c r="A16" s="3">
        <v>14</v>
      </c>
      <c r="B16" s="3">
        <v>14</v>
      </c>
      <c r="C16" s="9">
        <f t="shared" si="0"/>
        <v>7</v>
      </c>
      <c r="D16" s="7">
        <f t="shared" si="0"/>
        <v>8</v>
      </c>
      <c r="E16" s="5">
        <f t="shared" si="0"/>
        <v>9</v>
      </c>
      <c r="F16" s="4">
        <f t="shared" si="0"/>
        <v>10</v>
      </c>
      <c r="G16" s="9">
        <f t="shared" si="0"/>
        <v>11</v>
      </c>
      <c r="H16" s="7">
        <f t="shared" si="0"/>
        <v>12</v>
      </c>
      <c r="I16" s="5">
        <f t="shared" si="0"/>
        <v>13</v>
      </c>
      <c r="J16" s="4">
        <v>14</v>
      </c>
      <c r="K16" s="9" t="str">
        <f t="shared" si="3"/>
        <v>7,8
11,12</v>
      </c>
      <c r="L16" s="5"/>
      <c r="M16" s="4"/>
      <c r="N16" s="75" t="str">
        <f>E16 &amp; "," &amp; F16 &amp; CHAR(10) &amp; I16 &amp; "," &amp; J16</f>
        <v>9,10
13,14</v>
      </c>
      <c r="O16" s="76"/>
      <c r="P16" s="81"/>
      <c r="W16" s="3">
        <v>14</v>
      </c>
      <c r="X16" s="3" t="s">
        <v>99</v>
      </c>
      <c r="Y16" s="3"/>
      <c r="AA16" s="3">
        <v>14</v>
      </c>
      <c r="AB16" s="3"/>
      <c r="AC16" s="68"/>
      <c r="AD16" s="3"/>
      <c r="AE16" s="3"/>
      <c r="AF16" s="3"/>
      <c r="AG16" s="3"/>
      <c r="AH16" s="83"/>
      <c r="AI16" s="83"/>
      <c r="AJ16" s="83"/>
      <c r="AK16" s="83"/>
      <c r="AL16" s="27" t="s">
        <v>26</v>
      </c>
      <c r="AM16" s="3">
        <v>14</v>
      </c>
    </row>
    <row r="17" spans="1:39" x14ac:dyDescent="0.25">
      <c r="A17" s="3">
        <v>15</v>
      </c>
      <c r="B17" s="3">
        <v>15</v>
      </c>
      <c r="C17" s="9">
        <f t="shared" si="0"/>
        <v>8</v>
      </c>
      <c r="D17" s="7">
        <f t="shared" si="0"/>
        <v>9</v>
      </c>
      <c r="E17" s="5">
        <f t="shared" si="0"/>
        <v>10</v>
      </c>
      <c r="F17" s="4">
        <f t="shared" si="0"/>
        <v>11</v>
      </c>
      <c r="G17" s="9">
        <f t="shared" si="0"/>
        <v>12</v>
      </c>
      <c r="H17" s="7">
        <f t="shared" si="0"/>
        <v>13</v>
      </c>
      <c r="I17" s="5">
        <f t="shared" si="0"/>
        <v>14</v>
      </c>
      <c r="J17" s="4">
        <v>15</v>
      </c>
      <c r="K17" s="9" t="s">
        <v>0</v>
      </c>
      <c r="L17" s="5"/>
      <c r="M17" s="4"/>
      <c r="N17" s="75" t="str">
        <f>E17 &amp; "," &amp; F17 &amp; CHAR(10) &amp; I17 &amp; "," &amp; J17</f>
        <v>10,11
14,15</v>
      </c>
      <c r="O17" s="76"/>
      <c r="P17" s="81"/>
      <c r="W17" s="3">
        <v>15</v>
      </c>
      <c r="Y17" s="3"/>
      <c r="Z17" s="3" t="s">
        <v>100</v>
      </c>
      <c r="AA17" s="3">
        <v>15</v>
      </c>
      <c r="AB17" s="3"/>
      <c r="AC17" s="65"/>
      <c r="AD17" s="83"/>
      <c r="AE17" s="83"/>
      <c r="AF17" s="83"/>
      <c r="AG17" s="83"/>
      <c r="AH17" s="3"/>
      <c r="AI17" s="3"/>
      <c r="AJ17" s="3"/>
      <c r="AK17" s="3"/>
      <c r="AL17" s="3" t="s">
        <v>25</v>
      </c>
      <c r="AM17" s="3">
        <v>15</v>
      </c>
    </row>
    <row r="18" spans="1:39" x14ac:dyDescent="0.25">
      <c r="A18" s="3">
        <v>16</v>
      </c>
      <c r="B18" s="3">
        <v>16</v>
      </c>
      <c r="C18" s="9">
        <f t="shared" si="0"/>
        <v>9</v>
      </c>
      <c r="D18" s="7">
        <f t="shared" si="0"/>
        <v>10</v>
      </c>
      <c r="E18" s="5">
        <f t="shared" si="0"/>
        <v>11</v>
      </c>
      <c r="F18" s="4">
        <f t="shared" si="0"/>
        <v>12</v>
      </c>
      <c r="G18" s="9">
        <f t="shared" si="0"/>
        <v>13</v>
      </c>
      <c r="H18" s="7">
        <f t="shared" si="0"/>
        <v>14</v>
      </c>
      <c r="I18" s="5">
        <f t="shared" si="0"/>
        <v>15</v>
      </c>
      <c r="J18" s="4">
        <v>16</v>
      </c>
      <c r="K18" s="9" t="str">
        <f t="shared" si="3"/>
        <v>9,10
13,14</v>
      </c>
      <c r="L18" s="5"/>
      <c r="M18" s="4"/>
      <c r="N18" s="75" t="str">
        <f>E18 &amp; "," &amp; F18 &amp; CHAR(10) &amp; I18 &amp; "," &amp; J18</f>
        <v>11,12
15,16</v>
      </c>
      <c r="O18" s="76"/>
      <c r="P18" s="81"/>
      <c r="W18" s="3">
        <v>16</v>
      </c>
      <c r="Y18" s="3"/>
      <c r="Z18" s="3" t="s">
        <v>101</v>
      </c>
      <c r="AA18" s="3">
        <v>16</v>
      </c>
      <c r="AB18" s="3"/>
      <c r="AC18" s="65"/>
      <c r="AD18" s="83"/>
      <c r="AE18" s="83"/>
      <c r="AF18" s="83"/>
      <c r="AG18" s="83"/>
      <c r="AH18" s="3"/>
      <c r="AI18" s="3"/>
      <c r="AJ18" s="3"/>
      <c r="AK18" s="3"/>
      <c r="AL18" s="27" t="s">
        <v>24</v>
      </c>
      <c r="AM18" s="3">
        <v>16</v>
      </c>
    </row>
    <row r="19" spans="1:39" x14ac:dyDescent="0.25">
      <c r="A19" s="3">
        <v>17</v>
      </c>
      <c r="B19" s="3" t="s">
        <v>10</v>
      </c>
      <c r="C19" s="9">
        <f>C18</f>
        <v>9</v>
      </c>
      <c r="D19" s="7">
        <f>D18</f>
        <v>10</v>
      </c>
      <c r="E19" s="5">
        <f>E18</f>
        <v>11</v>
      </c>
      <c r="F19" s="4">
        <f>F18</f>
        <v>12</v>
      </c>
      <c r="G19" s="9">
        <f>G18</f>
        <v>13</v>
      </c>
      <c r="H19" s="7">
        <f>H18</f>
        <v>14</v>
      </c>
      <c r="I19" s="5">
        <f>I18</f>
        <v>15</v>
      </c>
      <c r="J19" s="4">
        <f>J18</f>
        <v>16</v>
      </c>
      <c r="K19" s="9" t="str">
        <f>D19 &amp; "," &amp; E19 &amp; CHAR(10) &amp; H19 &amp; "," &amp; I19</f>
        <v>10,11
14,15</v>
      </c>
      <c r="L19" s="5"/>
      <c r="M19" s="4"/>
      <c r="N19" s="75"/>
      <c r="O19" s="76"/>
      <c r="P19" s="81"/>
      <c r="W19" s="3">
        <v>17</v>
      </c>
      <c r="Y19" s="3"/>
      <c r="AA19" s="3">
        <v>17</v>
      </c>
      <c r="AB19" s="3"/>
      <c r="AC19" s="68"/>
      <c r="AD19" s="68"/>
      <c r="AE19" s="3"/>
      <c r="AF19" s="3"/>
      <c r="AG19" s="3"/>
      <c r="AH19" s="3"/>
      <c r="AI19" s="3"/>
      <c r="AJ19" s="3"/>
      <c r="AK19" s="3"/>
      <c r="AL19" s="3"/>
      <c r="AM19" s="3">
        <v>17</v>
      </c>
    </row>
    <row r="20" spans="1:39" x14ac:dyDescent="0.25">
      <c r="A20" s="3">
        <v>18</v>
      </c>
      <c r="B20" s="3" t="s">
        <v>10</v>
      </c>
      <c r="C20" s="9">
        <f>C19</f>
        <v>9</v>
      </c>
      <c r="D20" s="7">
        <f>D19</f>
        <v>10</v>
      </c>
      <c r="E20" s="5">
        <f>E19</f>
        <v>11</v>
      </c>
      <c r="F20" s="4">
        <f>F19</f>
        <v>12</v>
      </c>
      <c r="G20" s="9">
        <f>G19</f>
        <v>13</v>
      </c>
      <c r="H20" s="7">
        <f>H19</f>
        <v>14</v>
      </c>
      <c r="I20" s="5">
        <f>I19</f>
        <v>15</v>
      </c>
      <c r="J20" s="4">
        <f>J19</f>
        <v>16</v>
      </c>
      <c r="K20" s="9" t="str">
        <f>E20 &amp; "," &amp; F20 &amp; CHAR(10) &amp; I20 &amp; "," &amp; J20</f>
        <v>11,12
15,16</v>
      </c>
      <c r="L20" s="5"/>
      <c r="M20" s="4"/>
      <c r="N20" s="75"/>
      <c r="O20" s="76"/>
      <c r="P20" s="81"/>
      <c r="W20" s="3">
        <v>18</v>
      </c>
      <c r="X20" s="3"/>
      <c r="Y20" s="3"/>
      <c r="AA20" s="3">
        <v>18</v>
      </c>
      <c r="AB20" s="3"/>
      <c r="AC20" s="68"/>
      <c r="AD20" s="68"/>
      <c r="AE20" s="3"/>
      <c r="AF20" s="3"/>
      <c r="AG20" s="3"/>
      <c r="AH20" s="3"/>
      <c r="AI20" s="3"/>
      <c r="AJ20" s="3"/>
      <c r="AK20" s="3"/>
      <c r="AL20" s="3"/>
      <c r="AM20" s="3">
        <v>18</v>
      </c>
    </row>
    <row r="21" spans="1:39" ht="16.5" thickBot="1" x14ac:dyDescent="0.3">
      <c r="A21" s="3">
        <v>19</v>
      </c>
      <c r="B21" s="3"/>
      <c r="C21" s="9" t="s">
        <v>0</v>
      </c>
      <c r="D21" s="7"/>
      <c r="E21" s="5"/>
      <c r="F21" s="4"/>
      <c r="G21" s="9"/>
      <c r="H21" s="7"/>
      <c r="I21" s="5"/>
      <c r="J21" s="4"/>
      <c r="K21" s="9"/>
      <c r="L21" s="5"/>
      <c r="M21" s="4"/>
      <c r="N21" s="77"/>
      <c r="O21" s="78"/>
      <c r="P21" s="82"/>
      <c r="Q21" s="3"/>
      <c r="R21" s="3"/>
      <c r="S21" s="3"/>
      <c r="T21" s="3"/>
      <c r="U21" s="36"/>
      <c r="V21" s="3"/>
      <c r="W21" s="3">
        <v>19</v>
      </c>
      <c r="X21" s="3"/>
      <c r="Y21" s="3"/>
      <c r="AA21" s="3">
        <v>19</v>
      </c>
      <c r="AB21" s="3"/>
      <c r="AC21" s="68"/>
      <c r="AD21" s="68"/>
      <c r="AE21" s="3"/>
      <c r="AF21" s="3"/>
      <c r="AG21" s="3"/>
      <c r="AM21" s="3">
        <v>19</v>
      </c>
    </row>
    <row r="22" spans="1:39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6"/>
      <c r="V22" s="3"/>
      <c r="W22" s="3">
        <v>20</v>
      </c>
      <c r="X22" s="3"/>
      <c r="Y22" s="3"/>
      <c r="AA22" s="3">
        <v>20</v>
      </c>
      <c r="AB22" s="3"/>
      <c r="AC22" s="68"/>
      <c r="AD22" s="68"/>
      <c r="AE22" s="3"/>
      <c r="AF22" s="3"/>
      <c r="AG22" s="3"/>
      <c r="AM22" s="3">
        <v>20</v>
      </c>
    </row>
    <row r="23" spans="1:3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AB23" s="3"/>
      <c r="AC23" s="68"/>
      <c r="AD23" s="68"/>
      <c r="AE23" s="3"/>
      <c r="AF23" s="3"/>
      <c r="AG23" s="3"/>
    </row>
    <row r="24" spans="1:3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AB24" s="3"/>
      <c r="AC24" s="68"/>
      <c r="AD24" s="68"/>
      <c r="AE24" s="3"/>
      <c r="AF24" s="3"/>
      <c r="AG24" s="3"/>
    </row>
    <row r="25" spans="1:3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AB25" s="3"/>
      <c r="AC25" s="68"/>
      <c r="AD25" s="68"/>
      <c r="AE25" s="3"/>
      <c r="AF25" s="3"/>
      <c r="AG25" s="3"/>
    </row>
    <row r="26" spans="1:39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AB26" s="3"/>
      <c r="AC26" s="68"/>
      <c r="AD26" s="68"/>
      <c r="AE26" s="3"/>
      <c r="AF26" s="3"/>
      <c r="AG26" s="3"/>
    </row>
    <row r="27" spans="1:39" x14ac:dyDescent="0.25">
      <c r="A27" s="3" t="s">
        <v>1</v>
      </c>
      <c r="B27" s="3" t="s">
        <v>2</v>
      </c>
      <c r="C27" s="9" t="s">
        <v>121</v>
      </c>
      <c r="D27" s="7" t="s">
        <v>122</v>
      </c>
      <c r="E27" s="5" t="s">
        <v>123</v>
      </c>
      <c r="F27" s="4" t="s">
        <v>124</v>
      </c>
      <c r="G27" s="9" t="s">
        <v>125</v>
      </c>
      <c r="H27" s="7" t="s">
        <v>126</v>
      </c>
      <c r="I27" s="5" t="s">
        <v>127</v>
      </c>
      <c r="J27" s="4" t="s">
        <v>128</v>
      </c>
      <c r="K27" s="9" t="s">
        <v>12</v>
      </c>
      <c r="L27" s="5"/>
      <c r="M27" s="4"/>
      <c r="N27" s="9" t="str">
        <f t="shared" ref="N27:P35" si="9">K27</f>
        <v>det22_c</v>
      </c>
      <c r="O27" s="5">
        <f t="shared" si="9"/>
        <v>0</v>
      </c>
      <c r="P27" s="4">
        <f t="shared" si="9"/>
        <v>0</v>
      </c>
      <c r="Q27" s="72" t="s">
        <v>120</v>
      </c>
      <c r="R27" s="30" t="s">
        <v>129</v>
      </c>
      <c r="S27" s="79" t="s">
        <v>131</v>
      </c>
      <c r="T27" s="72" t="s">
        <v>120</v>
      </c>
      <c r="U27" s="30" t="s">
        <v>129</v>
      </c>
      <c r="V27" s="79" t="s">
        <v>131</v>
      </c>
      <c r="W27" s="3" t="s">
        <v>1</v>
      </c>
      <c r="X27" s="3" t="s">
        <v>36</v>
      </c>
      <c r="Y27" s="3" t="s">
        <v>80</v>
      </c>
      <c r="AA27" s="3" t="s">
        <v>1</v>
      </c>
      <c r="AB27" s="3" t="s">
        <v>22</v>
      </c>
      <c r="AC27" s="68" t="s">
        <v>15</v>
      </c>
      <c r="AD27" s="68" t="str">
        <f>LEFT(AC27, LEN(AC27)-2) &amp; "1]"</f>
        <v>det22_reg [1]</v>
      </c>
      <c r="AE27" s="3" t="s">
        <v>16</v>
      </c>
      <c r="AF27" s="3" t="s">
        <v>17</v>
      </c>
      <c r="AG27" s="3" t="s">
        <v>14</v>
      </c>
      <c r="AH27" s="3" t="s">
        <v>18</v>
      </c>
      <c r="AI27" s="3" t="s">
        <v>19</v>
      </c>
      <c r="AJ27" s="3" t="s">
        <v>20</v>
      </c>
      <c r="AK27" s="3" t="s">
        <v>33</v>
      </c>
      <c r="AL27" s="3" t="s">
        <v>23</v>
      </c>
      <c r="AM27" s="3" t="s">
        <v>1</v>
      </c>
    </row>
    <row r="28" spans="1:39" x14ac:dyDescent="0.25">
      <c r="A28" s="3">
        <v>0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9"/>
        <v>0</v>
      </c>
      <c r="O28" s="5">
        <f t="shared" si="9"/>
        <v>0</v>
      </c>
      <c r="P28" s="4">
        <f t="shared" si="9"/>
        <v>0</v>
      </c>
      <c r="Q28" s="72"/>
      <c r="R28" s="30"/>
      <c r="S28" s="79"/>
      <c r="T28" s="72"/>
      <c r="U28" s="30"/>
      <c r="V28" s="79"/>
      <c r="W28" s="3">
        <v>0</v>
      </c>
      <c r="X28" s="3" t="s">
        <v>71</v>
      </c>
      <c r="Y28" s="3"/>
      <c r="AA28" s="3">
        <v>0</v>
      </c>
      <c r="AB28" s="3"/>
      <c r="AC28" s="68" t="s">
        <v>75</v>
      </c>
      <c r="AD28" s="3" t="s">
        <v>74</v>
      </c>
      <c r="AE28" s="3" t="s">
        <v>96</v>
      </c>
      <c r="AF28" s="3" t="s">
        <v>78</v>
      </c>
      <c r="AG28" s="3" t="s">
        <v>76</v>
      </c>
      <c r="AH28" s="3" t="s">
        <v>73</v>
      </c>
      <c r="AI28" s="3" t="s">
        <v>72</v>
      </c>
      <c r="AJ28" s="3" t="s">
        <v>79</v>
      </c>
      <c r="AK28" s="3" t="s">
        <v>77</v>
      </c>
      <c r="AL28" s="3"/>
      <c r="AM28" s="3">
        <v>0</v>
      </c>
    </row>
    <row r="29" spans="1:39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1</v>
      </c>
      <c r="K29" s="9"/>
      <c r="L29" s="5"/>
      <c r="M29" s="4"/>
      <c r="N29" s="9">
        <f t="shared" si="9"/>
        <v>0</v>
      </c>
      <c r="O29" s="5">
        <f t="shared" si="9"/>
        <v>0</v>
      </c>
      <c r="P29" s="4">
        <f t="shared" si="9"/>
        <v>0</v>
      </c>
      <c r="Q29" s="72"/>
      <c r="R29" s="30"/>
      <c r="S29" s="79"/>
      <c r="T29" s="72"/>
      <c r="U29" s="30"/>
      <c r="V29" s="79"/>
      <c r="W29" s="3">
        <v>1</v>
      </c>
      <c r="X29" s="3"/>
      <c r="Y29" s="3"/>
      <c r="AA29" s="3">
        <v>1</v>
      </c>
      <c r="AB29" s="3"/>
      <c r="AC29" s="68"/>
      <c r="AD29" s="3"/>
      <c r="AE29" s="3"/>
      <c r="AF29" s="3"/>
      <c r="AG29" s="3"/>
      <c r="AH29" s="3"/>
      <c r="AI29" s="3"/>
      <c r="AJ29" s="3"/>
      <c r="AK29" s="3"/>
      <c r="AL29" s="3"/>
      <c r="AM29" s="3">
        <v>1</v>
      </c>
    </row>
    <row r="30" spans="1:39" ht="16.5" thickBot="1" x14ac:dyDescent="0.3">
      <c r="A30" s="3">
        <v>2</v>
      </c>
      <c r="B30" s="3">
        <v>2</v>
      </c>
      <c r="C30" s="9" t="str">
        <f t="shared" ref="C30:I44" si="10">D29</f>
        <v>X</v>
      </c>
      <c r="D30" s="7" t="str">
        <f t="shared" si="10"/>
        <v>X</v>
      </c>
      <c r="E30" s="5" t="str">
        <f t="shared" si="10"/>
        <v>X</v>
      </c>
      <c r="F30" s="4" t="str">
        <f t="shared" si="10"/>
        <v>X</v>
      </c>
      <c r="G30" s="9" t="str">
        <f t="shared" si="10"/>
        <v>X</v>
      </c>
      <c r="H30" s="7" t="str">
        <f t="shared" si="10"/>
        <v>X</v>
      </c>
      <c r="I30" s="5">
        <f>J29</f>
        <v>1</v>
      </c>
      <c r="J30" s="4">
        <v>2</v>
      </c>
      <c r="K30" s="9"/>
      <c r="L30" s="5"/>
      <c r="M30" s="4"/>
      <c r="N30" s="9">
        <f t="shared" si="9"/>
        <v>0</v>
      </c>
      <c r="O30" s="5">
        <f t="shared" si="9"/>
        <v>0</v>
      </c>
      <c r="P30" s="4">
        <f t="shared" si="9"/>
        <v>0</v>
      </c>
      <c r="Q30" s="72"/>
      <c r="R30" s="30"/>
      <c r="S30" s="79"/>
      <c r="T30" s="72"/>
      <c r="U30" s="30"/>
      <c r="V30" s="79"/>
      <c r="W30" s="3">
        <v>2</v>
      </c>
      <c r="X30" s="3"/>
      <c r="Y30" s="3"/>
      <c r="AA30" s="3">
        <v>2</v>
      </c>
      <c r="AB30" s="3"/>
      <c r="AC30" s="68"/>
      <c r="AD30" s="3"/>
      <c r="AE30" s="3"/>
      <c r="AF30" s="3"/>
      <c r="AG30" s="3"/>
      <c r="AH30" s="3"/>
      <c r="AI30" s="3"/>
      <c r="AJ30" s="3"/>
      <c r="AK30" s="3"/>
      <c r="AL30" s="3"/>
      <c r="AM30" s="3">
        <v>2</v>
      </c>
    </row>
    <row r="31" spans="1:39" x14ac:dyDescent="0.25">
      <c r="A31" s="3">
        <v>3</v>
      </c>
      <c r="B31" s="3">
        <v>3</v>
      </c>
      <c r="C31" s="9" t="str">
        <f t="shared" si="10"/>
        <v>X</v>
      </c>
      <c r="D31" s="7" t="str">
        <f t="shared" si="10"/>
        <v>X</v>
      </c>
      <c r="E31" s="5" t="str">
        <f t="shared" si="10"/>
        <v>X</v>
      </c>
      <c r="F31" s="4" t="str">
        <f t="shared" si="10"/>
        <v>X</v>
      </c>
      <c r="G31" s="9" t="str">
        <f t="shared" si="10"/>
        <v>X</v>
      </c>
      <c r="H31" s="7">
        <f t="shared" si="10"/>
        <v>1</v>
      </c>
      <c r="I31" s="5">
        <f t="shared" si="10"/>
        <v>2</v>
      </c>
      <c r="J31" s="4">
        <v>-3</v>
      </c>
      <c r="K31" s="9"/>
      <c r="L31" s="5"/>
      <c r="M31" s="4"/>
      <c r="N31" s="9">
        <f t="shared" si="9"/>
        <v>0</v>
      </c>
      <c r="O31" s="5">
        <f t="shared" si="9"/>
        <v>0</v>
      </c>
      <c r="P31" s="4">
        <f t="shared" si="9"/>
        <v>0</v>
      </c>
      <c r="Q31" s="73"/>
      <c r="R31" s="74"/>
      <c r="S31" s="80"/>
      <c r="T31" s="73"/>
      <c r="U31" s="74"/>
      <c r="V31" s="80"/>
      <c r="W31" s="3">
        <v>3</v>
      </c>
      <c r="X31" s="3"/>
      <c r="Y31" s="3"/>
      <c r="AA31" s="3">
        <v>3</v>
      </c>
      <c r="AB31" s="3"/>
      <c r="AC31" s="68"/>
      <c r="AD31" s="3"/>
      <c r="AE31" s="3"/>
      <c r="AF31" s="3"/>
      <c r="AG31" s="3"/>
      <c r="AH31" s="3"/>
      <c r="AI31" s="3"/>
      <c r="AJ31" s="3"/>
      <c r="AK31" s="3"/>
      <c r="AL31" s="3"/>
      <c r="AM31" s="3">
        <v>3</v>
      </c>
    </row>
    <row r="32" spans="1:39" x14ac:dyDescent="0.25">
      <c r="A32" s="3">
        <v>4</v>
      </c>
      <c r="B32" s="3">
        <v>4</v>
      </c>
      <c r="C32" s="9" t="str">
        <f t="shared" si="10"/>
        <v>X</v>
      </c>
      <c r="D32" s="7" t="str">
        <f t="shared" si="10"/>
        <v>X</v>
      </c>
      <c r="E32" s="5" t="str">
        <f t="shared" si="10"/>
        <v>X</v>
      </c>
      <c r="F32" s="4" t="str">
        <f t="shared" si="10"/>
        <v>X</v>
      </c>
      <c r="G32" s="9">
        <f t="shared" si="10"/>
        <v>1</v>
      </c>
      <c r="H32" s="7">
        <f t="shared" si="10"/>
        <v>2</v>
      </c>
      <c r="I32" s="5">
        <f t="shared" si="10"/>
        <v>-3</v>
      </c>
      <c r="J32" s="4">
        <v>-4</v>
      </c>
      <c r="K32" s="9"/>
      <c r="L32" s="5"/>
      <c r="M32" s="4"/>
      <c r="N32" s="9">
        <f t="shared" si="9"/>
        <v>0</v>
      </c>
      <c r="O32" s="5">
        <f t="shared" si="9"/>
        <v>0</v>
      </c>
      <c r="P32" s="4">
        <f t="shared" si="9"/>
        <v>0</v>
      </c>
      <c r="Q32" s="75"/>
      <c r="R32" s="76"/>
      <c r="S32" s="81"/>
      <c r="T32" s="75"/>
      <c r="U32" s="76"/>
      <c r="V32" s="81"/>
      <c r="W32" s="3">
        <v>4</v>
      </c>
      <c r="X32" s="3"/>
      <c r="Y32" s="3"/>
      <c r="AA32" s="3">
        <v>4</v>
      </c>
      <c r="AB32" s="3"/>
      <c r="AC32" s="68"/>
      <c r="AD32" s="3"/>
      <c r="AE32" s="3"/>
      <c r="AF32" s="3"/>
      <c r="AG32" s="3"/>
      <c r="AH32" s="3"/>
      <c r="AI32" s="3"/>
      <c r="AJ32" s="3"/>
      <c r="AK32" s="3"/>
      <c r="AL32" s="3"/>
      <c r="AM32" s="3">
        <v>4</v>
      </c>
    </row>
    <row r="33" spans="1:39" x14ac:dyDescent="0.25">
      <c r="A33" s="3">
        <v>5</v>
      </c>
      <c r="B33" s="3">
        <v>5</v>
      </c>
      <c r="C33" s="9" t="str">
        <f t="shared" si="10"/>
        <v>X</v>
      </c>
      <c r="D33" s="7" t="str">
        <f t="shared" si="10"/>
        <v>X</v>
      </c>
      <c r="E33" s="5" t="str">
        <f t="shared" si="10"/>
        <v>X</v>
      </c>
      <c r="F33" s="4">
        <f t="shared" si="10"/>
        <v>1</v>
      </c>
      <c r="G33" s="9">
        <f t="shared" si="10"/>
        <v>2</v>
      </c>
      <c r="H33" s="7">
        <f t="shared" si="10"/>
        <v>-3</v>
      </c>
      <c r="I33" s="5">
        <f t="shared" si="10"/>
        <v>-4</v>
      </c>
      <c r="J33" s="4">
        <v>-5</v>
      </c>
      <c r="K33" s="9"/>
      <c r="L33" s="5"/>
      <c r="M33" s="4"/>
      <c r="N33" s="9">
        <f t="shared" si="9"/>
        <v>0</v>
      </c>
      <c r="O33" s="5">
        <f t="shared" si="9"/>
        <v>0</v>
      </c>
      <c r="P33" s="4">
        <f t="shared" si="9"/>
        <v>0</v>
      </c>
      <c r="Q33" s="75"/>
      <c r="R33" s="76"/>
      <c r="S33" s="81"/>
      <c r="T33" s="75"/>
      <c r="U33" s="76"/>
      <c r="V33" s="81"/>
      <c r="W33" s="3">
        <v>5</v>
      </c>
      <c r="X33" s="3"/>
      <c r="Y33" s="3"/>
      <c r="AA33" s="3">
        <v>5</v>
      </c>
      <c r="AB33" s="3"/>
      <c r="AC33" s="68"/>
      <c r="AD33" s="3"/>
      <c r="AE33" s="3"/>
      <c r="AF33" s="3"/>
      <c r="AG33" s="3"/>
      <c r="AH33" s="3"/>
      <c r="AI33" s="3"/>
      <c r="AJ33" s="3"/>
      <c r="AK33" s="3"/>
      <c r="AL33" s="3"/>
      <c r="AM33" s="3">
        <v>5</v>
      </c>
    </row>
    <row r="34" spans="1:39" x14ac:dyDescent="0.25">
      <c r="A34" s="3">
        <v>6</v>
      </c>
      <c r="B34" s="3">
        <v>6</v>
      </c>
      <c r="C34" s="9" t="str">
        <f t="shared" si="10"/>
        <v>X</v>
      </c>
      <c r="D34" s="7" t="str">
        <f t="shared" si="10"/>
        <v>X</v>
      </c>
      <c r="E34" s="5">
        <f t="shared" si="10"/>
        <v>1</v>
      </c>
      <c r="F34" s="4">
        <f t="shared" si="10"/>
        <v>2</v>
      </c>
      <c r="G34" s="9">
        <f t="shared" si="10"/>
        <v>-3</v>
      </c>
      <c r="H34" s="7">
        <f t="shared" si="10"/>
        <v>-4</v>
      </c>
      <c r="I34" s="5">
        <f t="shared" si="10"/>
        <v>-5</v>
      </c>
      <c r="J34" s="4">
        <v>-6</v>
      </c>
      <c r="K34" s="9"/>
      <c r="L34" s="5"/>
      <c r="M34" s="4"/>
      <c r="N34" s="9">
        <f t="shared" si="9"/>
        <v>0</v>
      </c>
      <c r="O34" s="5">
        <f t="shared" si="9"/>
        <v>0</v>
      </c>
      <c r="P34" s="4">
        <f t="shared" si="9"/>
        <v>0</v>
      </c>
      <c r="Q34" s="75" t="str">
        <f>E34 &amp; "," &amp; F34 &amp; CHAR(10) &amp; I34 &amp; "," &amp; J34</f>
        <v>1,2
-5,-6</v>
      </c>
      <c r="R34" s="76"/>
      <c r="S34" s="81"/>
      <c r="T34" s="75">
        <f>D56</f>
        <v>3.9999999999999991</v>
      </c>
      <c r="U34" s="76"/>
      <c r="V34" s="81"/>
      <c r="W34" s="3">
        <v>6</v>
      </c>
      <c r="X34" s="3"/>
      <c r="Y34" s="3"/>
      <c r="AA34" s="3">
        <v>6</v>
      </c>
      <c r="AB34" s="3"/>
      <c r="AC34" s="68"/>
      <c r="AD34" s="3"/>
      <c r="AE34" s="3"/>
      <c r="AF34" s="3"/>
      <c r="AG34" s="3"/>
      <c r="AH34" s="3"/>
      <c r="AI34" s="3"/>
      <c r="AJ34" s="3"/>
      <c r="AK34" s="3"/>
      <c r="AL34" s="3"/>
      <c r="AM34" s="3">
        <v>6</v>
      </c>
    </row>
    <row r="35" spans="1:39" ht="16.5" thickBot="1" x14ac:dyDescent="0.3">
      <c r="A35" s="3">
        <v>7</v>
      </c>
      <c r="B35" s="3">
        <v>7</v>
      </c>
      <c r="C35" s="9" t="str">
        <f t="shared" si="10"/>
        <v>X</v>
      </c>
      <c r="D35" s="7">
        <f t="shared" si="10"/>
        <v>1</v>
      </c>
      <c r="E35" s="5">
        <f t="shared" si="10"/>
        <v>2</v>
      </c>
      <c r="F35" s="4">
        <f t="shared" si="10"/>
        <v>-3</v>
      </c>
      <c r="G35" s="9">
        <f t="shared" si="10"/>
        <v>-4</v>
      </c>
      <c r="H35" s="7">
        <f t="shared" si="10"/>
        <v>-5</v>
      </c>
      <c r="I35" s="5">
        <f t="shared" si="10"/>
        <v>-6</v>
      </c>
      <c r="J35" s="4">
        <v>7</v>
      </c>
      <c r="K35" s="9"/>
      <c r="L35" s="5"/>
      <c r="M35" s="4"/>
      <c r="N35" s="9">
        <f t="shared" si="9"/>
        <v>0</v>
      </c>
      <c r="O35" s="5">
        <f t="shared" si="9"/>
        <v>0</v>
      </c>
      <c r="P35" s="4">
        <f t="shared" si="9"/>
        <v>0</v>
      </c>
      <c r="Q35" s="75" t="str">
        <f t="shared" ref="Q35:Q44" si="11">E35 &amp; "," &amp; F35 &amp; CHAR(10) &amp; I35 &amp; "," &amp; J35</f>
        <v>2,-3
-6,7</v>
      </c>
      <c r="R35" s="76" t="str">
        <f>D35 &amp; "," &amp; F35 &amp; CHAR(10) &amp; H35 &amp; "," &amp; J35</f>
        <v>1,-3
-5,7</v>
      </c>
      <c r="S35" s="81"/>
      <c r="T35" s="75">
        <f>E56</f>
        <v>-4.0000000000000018</v>
      </c>
      <c r="U35" s="76">
        <f>N56</f>
        <v>-7.9999999999999991</v>
      </c>
      <c r="V35" s="81"/>
      <c r="W35" s="3">
        <v>7</v>
      </c>
      <c r="X35" s="3"/>
      <c r="Y35" s="3"/>
      <c r="AA35" s="3">
        <v>7</v>
      </c>
      <c r="AB35" s="3"/>
      <c r="AC35" s="68"/>
      <c r="AD35" s="3"/>
      <c r="AE35" s="3"/>
      <c r="AF35" s="3"/>
      <c r="AG35" s="3">
        <f>T34</f>
        <v>3.9999999999999991</v>
      </c>
      <c r="AH35" s="3"/>
      <c r="AI35" s="3"/>
      <c r="AJ35" s="3"/>
      <c r="AK35" s="3"/>
      <c r="AL35" s="3"/>
      <c r="AM35" s="3">
        <v>7</v>
      </c>
    </row>
    <row r="36" spans="1:39" ht="16.5" thickBot="1" x14ac:dyDescent="0.3">
      <c r="A36" s="3">
        <v>8</v>
      </c>
      <c r="B36" s="11">
        <v>8</v>
      </c>
      <c r="C36" s="12">
        <f t="shared" si="10"/>
        <v>1</v>
      </c>
      <c r="D36" s="13">
        <f t="shared" si="10"/>
        <v>2</v>
      </c>
      <c r="E36" s="14">
        <f t="shared" si="10"/>
        <v>-3</v>
      </c>
      <c r="F36" s="15">
        <f t="shared" si="10"/>
        <v>-4</v>
      </c>
      <c r="G36" s="12">
        <f t="shared" si="10"/>
        <v>-5</v>
      </c>
      <c r="H36" s="13">
        <f t="shared" si="10"/>
        <v>-6</v>
      </c>
      <c r="I36" s="14">
        <f t="shared" si="10"/>
        <v>7</v>
      </c>
      <c r="J36" s="16">
        <v>8</v>
      </c>
      <c r="K36" s="9" t="str">
        <f>C36 &amp; "," &amp; D36 &amp; CHAR(10) &amp; G36 &amp; "," &amp; H36</f>
        <v>1,2
-5,-6</v>
      </c>
      <c r="L36" s="5" t="str">
        <f>C36 &amp; "," &amp; E36 &amp; CHAR(10) &amp; G36 &amp; "," &amp; I36</f>
        <v>1,-3
-5,7</v>
      </c>
      <c r="M36" s="4" t="str">
        <f>C36 &amp; "," &amp; F36 &amp; CHAR(10) &amp; G36 &amp; "," &amp; J36</f>
        <v>1,-4
-5,8</v>
      </c>
      <c r="N36" s="9">
        <f>D56</f>
        <v>3.9999999999999991</v>
      </c>
      <c r="O36" s="5">
        <f>N56</f>
        <v>-7.9999999999999991</v>
      </c>
      <c r="P36" s="4">
        <f>T56</f>
        <v>-12</v>
      </c>
      <c r="Q36" s="75" t="str">
        <f t="shared" si="11"/>
        <v>-3,-4
7,8</v>
      </c>
      <c r="R36" s="76" t="str">
        <f t="shared" ref="R36:R40" si="12">D36 &amp; "," &amp; F36 &amp; CHAR(10) &amp; H36 &amp; "," &amp; J36</f>
        <v>2,-4
-6,8</v>
      </c>
      <c r="S36" s="81" t="str">
        <f>C36 &amp; "," &amp; F36 &amp; CHAR(10) &amp; G36 &amp; "," &amp; J36</f>
        <v>1,-4
-5,8</v>
      </c>
      <c r="T36" s="75">
        <f>F56</f>
        <v>4.0000000000000018</v>
      </c>
      <c r="U36" s="76">
        <f>O56</f>
        <v>-8</v>
      </c>
      <c r="V36" s="81">
        <f>T56</f>
        <v>-12</v>
      </c>
      <c r="W36" s="3">
        <v>8</v>
      </c>
      <c r="X36" s="3"/>
      <c r="Y36" s="3"/>
      <c r="AA36" s="3">
        <v>8</v>
      </c>
      <c r="AB36" s="3"/>
      <c r="AC36" s="68"/>
      <c r="AD36" s="3"/>
      <c r="AE36" s="3"/>
      <c r="AF36" s="3">
        <f>AG35</f>
        <v>3.9999999999999991</v>
      </c>
      <c r="AG36" s="3">
        <f>T35</f>
        <v>-4.0000000000000018</v>
      </c>
      <c r="AH36" s="3"/>
      <c r="AI36" s="3"/>
      <c r="AJ36" s="3"/>
      <c r="AK36" s="3"/>
      <c r="AL36" s="27" t="s">
        <v>32</v>
      </c>
      <c r="AM36" s="3">
        <v>8</v>
      </c>
    </row>
    <row r="37" spans="1:39" x14ac:dyDescent="0.25">
      <c r="A37" s="3">
        <v>9</v>
      </c>
      <c r="B37" s="3">
        <v>9</v>
      </c>
      <c r="C37" s="9">
        <f t="shared" si="10"/>
        <v>2</v>
      </c>
      <c r="D37" s="7">
        <f t="shared" si="10"/>
        <v>-3</v>
      </c>
      <c r="E37" s="5">
        <f t="shared" si="10"/>
        <v>-4</v>
      </c>
      <c r="F37" s="4">
        <f t="shared" si="10"/>
        <v>-5</v>
      </c>
      <c r="G37" s="9">
        <f t="shared" si="10"/>
        <v>-6</v>
      </c>
      <c r="H37" s="7">
        <f t="shared" si="10"/>
        <v>7</v>
      </c>
      <c r="I37" s="5">
        <f t="shared" si="10"/>
        <v>8</v>
      </c>
      <c r="J37" s="4">
        <v>-9</v>
      </c>
      <c r="K37" s="9" t="str">
        <f t="shared" ref="K37:K46" si="13">C37 &amp; "," &amp; D37 &amp; CHAR(10) &amp; G37 &amp; "," &amp; H37</f>
        <v>2,-3
-6,7</v>
      </c>
      <c r="L37" s="5" t="str">
        <f t="shared" ref="L37" si="14">C37 &amp; "," &amp; E37 &amp; CHAR(10) &amp; G37 &amp; "," &amp; I37</f>
        <v>2,-4
-6,8</v>
      </c>
      <c r="M37" s="4"/>
      <c r="N37" s="9">
        <f>E56</f>
        <v>-4.0000000000000018</v>
      </c>
      <c r="O37" s="5">
        <f>O56</f>
        <v>-8</v>
      </c>
      <c r="P37" s="4">
        <f t="shared" ref="P37:P46" si="15">M37</f>
        <v>0</v>
      </c>
      <c r="Q37" s="75"/>
      <c r="R37" s="76"/>
      <c r="S37" s="81"/>
      <c r="T37" s="75"/>
      <c r="U37" s="76"/>
      <c r="V37" s="81"/>
      <c r="W37" s="3">
        <v>9</v>
      </c>
      <c r="X37" s="3"/>
      <c r="Y37" s="3"/>
      <c r="AA37" s="3">
        <v>9</v>
      </c>
      <c r="AB37" s="3"/>
      <c r="AC37" s="68"/>
      <c r="AD37" s="3"/>
      <c r="AE37" s="3">
        <f>AF36</f>
        <v>3.9999999999999991</v>
      </c>
      <c r="AF37" s="3">
        <f>AG36</f>
        <v>-4.0000000000000018</v>
      </c>
      <c r="AG37" s="3">
        <f>T36</f>
        <v>4.0000000000000018</v>
      </c>
      <c r="AH37" s="3"/>
      <c r="AI37" s="3"/>
      <c r="AJ37" s="3"/>
      <c r="AK37" s="3">
        <f>O36</f>
        <v>-7.9999999999999991</v>
      </c>
      <c r="AL37" s="27" t="s">
        <v>31</v>
      </c>
      <c r="AM37" s="3">
        <v>9</v>
      </c>
    </row>
    <row r="38" spans="1:39" x14ac:dyDescent="0.25">
      <c r="A38" s="3">
        <v>10</v>
      </c>
      <c r="B38" s="3">
        <v>10</v>
      </c>
      <c r="C38" s="9">
        <f t="shared" si="10"/>
        <v>-3</v>
      </c>
      <c r="D38" s="7">
        <f t="shared" si="10"/>
        <v>-4</v>
      </c>
      <c r="E38" s="5">
        <f t="shared" si="10"/>
        <v>-5</v>
      </c>
      <c r="F38" s="4">
        <f t="shared" si="10"/>
        <v>-6</v>
      </c>
      <c r="G38" s="9">
        <f t="shared" si="10"/>
        <v>7</v>
      </c>
      <c r="H38" s="7">
        <f t="shared" si="10"/>
        <v>8</v>
      </c>
      <c r="I38" s="5">
        <f t="shared" si="10"/>
        <v>-9</v>
      </c>
      <c r="J38" s="4">
        <v>10</v>
      </c>
      <c r="K38" s="9" t="str">
        <f t="shared" si="13"/>
        <v>-3,-4
7,8</v>
      </c>
      <c r="L38" s="5"/>
      <c r="M38" s="4"/>
      <c r="N38" s="9">
        <f>F56</f>
        <v>4.0000000000000018</v>
      </c>
      <c r="O38" s="5">
        <f>L38</f>
        <v>0</v>
      </c>
      <c r="P38" s="4">
        <f t="shared" si="15"/>
        <v>0</v>
      </c>
      <c r="Q38" s="75" t="str">
        <f t="shared" si="11"/>
        <v>-5,-6
-9,10</v>
      </c>
      <c r="R38" s="76"/>
      <c r="S38" s="81"/>
      <c r="T38" s="75">
        <f>G56</f>
        <v>-104</v>
      </c>
      <c r="U38" s="76"/>
      <c r="V38" s="81"/>
      <c r="W38" s="3">
        <v>10</v>
      </c>
      <c r="X38" s="3">
        <f>I38*E56-J38*O36</f>
        <v>116</v>
      </c>
      <c r="Y38" s="3"/>
      <c r="AA38" s="3">
        <v>10</v>
      </c>
      <c r="AB38" s="3"/>
      <c r="AC38" s="68"/>
      <c r="AD38" s="3"/>
      <c r="AE38" s="3">
        <f>AE37</f>
        <v>3.9999999999999991</v>
      </c>
      <c r="AF38" s="3">
        <f>AF37</f>
        <v>-4.0000000000000018</v>
      </c>
      <c r="AG38" s="3">
        <f>AG37</f>
        <v>4.0000000000000018</v>
      </c>
      <c r="AH38" s="3">
        <f>AI37</f>
        <v>0</v>
      </c>
      <c r="AI38" s="3">
        <f>AJ37</f>
        <v>0</v>
      </c>
      <c r="AJ38" s="3">
        <f>AK37</f>
        <v>-7.9999999999999991</v>
      </c>
      <c r="AK38" s="3">
        <f>O37</f>
        <v>-8</v>
      </c>
      <c r="AL38" s="27" t="s">
        <v>30</v>
      </c>
      <c r="AM38" s="3">
        <v>10</v>
      </c>
    </row>
    <row r="39" spans="1:39" x14ac:dyDescent="0.25">
      <c r="A39" s="3">
        <v>11</v>
      </c>
      <c r="B39" s="3">
        <v>11</v>
      </c>
      <c r="C39" s="9">
        <f t="shared" si="10"/>
        <v>-4</v>
      </c>
      <c r="D39" s="7">
        <f t="shared" si="10"/>
        <v>-5</v>
      </c>
      <c r="E39" s="5">
        <f t="shared" si="10"/>
        <v>-6</v>
      </c>
      <c r="F39" s="4">
        <f t="shared" si="10"/>
        <v>7</v>
      </c>
      <c r="G39" s="9">
        <f t="shared" si="10"/>
        <v>8</v>
      </c>
      <c r="H39" s="7">
        <f t="shared" si="10"/>
        <v>-9</v>
      </c>
      <c r="I39" s="5">
        <f t="shared" si="10"/>
        <v>10</v>
      </c>
      <c r="J39" s="4">
        <v>-11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15"/>
        <v>0</v>
      </c>
      <c r="Q39" s="75" t="str">
        <f t="shared" si="11"/>
        <v>-6,7
10,-11</v>
      </c>
      <c r="R39" s="76" t="str">
        <f t="shared" si="12"/>
        <v>-5,7
-9,-11</v>
      </c>
      <c r="S39" s="81"/>
      <c r="T39" s="75">
        <f>H56</f>
        <v>-4.0000000000000036</v>
      </c>
      <c r="U39" s="76">
        <f>N57</f>
        <v>118</v>
      </c>
      <c r="V39" s="81"/>
      <c r="W39" s="3">
        <v>11</v>
      </c>
      <c r="X39" s="3">
        <f>X38+J39*N36</f>
        <v>72</v>
      </c>
      <c r="Y39" s="3">
        <f>X38</f>
        <v>116</v>
      </c>
      <c r="AA39" s="3">
        <v>11</v>
      </c>
      <c r="AB39" s="3" t="e">
        <f>#REF!</f>
        <v>#REF!</v>
      </c>
      <c r="AC39" s="68"/>
      <c r="AD39" s="3">
        <f>AE38</f>
        <v>3.9999999999999991</v>
      </c>
      <c r="AE39" s="3">
        <f t="shared" ref="AE39" si="16">AF38</f>
        <v>-4.0000000000000018</v>
      </c>
      <c r="AF39" s="3">
        <f t="shared" ref="AF39" si="17">AG38</f>
        <v>4.0000000000000018</v>
      </c>
      <c r="AG39" s="3">
        <f>T38</f>
        <v>-104</v>
      </c>
      <c r="AH39" s="3">
        <f>AI38</f>
        <v>0</v>
      </c>
      <c r="AI39" s="3">
        <f>AI38</f>
        <v>0</v>
      </c>
      <c r="AJ39" s="3">
        <f>AJ38</f>
        <v>-7.9999999999999991</v>
      </c>
      <c r="AK39" s="3">
        <f>AK38</f>
        <v>-8</v>
      </c>
      <c r="AL39" s="3" t="s">
        <v>29</v>
      </c>
      <c r="AM39" s="3">
        <v>11</v>
      </c>
    </row>
    <row r="40" spans="1:39" x14ac:dyDescent="0.25">
      <c r="A40" s="3">
        <v>12</v>
      </c>
      <c r="B40" s="3">
        <v>12</v>
      </c>
      <c r="C40" s="9">
        <f t="shared" si="10"/>
        <v>-5</v>
      </c>
      <c r="D40" s="7">
        <f t="shared" si="10"/>
        <v>-6</v>
      </c>
      <c r="E40" s="5">
        <f t="shared" si="10"/>
        <v>7</v>
      </c>
      <c r="F40" s="4">
        <f t="shared" si="10"/>
        <v>8</v>
      </c>
      <c r="G40" s="9">
        <f t="shared" si="10"/>
        <v>-9</v>
      </c>
      <c r="H40" s="7">
        <f t="shared" si="10"/>
        <v>10</v>
      </c>
      <c r="I40" s="5">
        <f t="shared" si="10"/>
        <v>-11</v>
      </c>
      <c r="J40" s="4">
        <v>12</v>
      </c>
      <c r="K40" s="9" t="str">
        <f t="shared" si="13"/>
        <v>-5,-6
-9,10</v>
      </c>
      <c r="L40" s="5" t="str">
        <f t="shared" ref="L40:L41" si="18">C40 &amp; "," &amp; E40 &amp; CHAR(10) &amp; G40 &amp; "," &amp; I40</f>
        <v>-5,7
-9,-11</v>
      </c>
      <c r="M40" s="4"/>
      <c r="N40" s="9">
        <f>D57</f>
        <v>-104</v>
      </c>
      <c r="O40" s="5">
        <f>N57</f>
        <v>118</v>
      </c>
      <c r="P40" s="4">
        <f t="shared" si="15"/>
        <v>0</v>
      </c>
      <c r="Q40" s="75" t="str">
        <f t="shared" si="11"/>
        <v>7,8
-11,12</v>
      </c>
      <c r="R40" s="76" t="str">
        <f t="shared" si="12"/>
        <v>-6,8
10,12</v>
      </c>
      <c r="S40" s="81"/>
      <c r="T40" s="75">
        <f>I56</f>
        <v>172</v>
      </c>
      <c r="U40" s="76">
        <f>O57</f>
        <v>-152</v>
      </c>
      <c r="V40" s="81"/>
      <c r="W40" s="3">
        <v>12</v>
      </c>
      <c r="X40" s="3">
        <f>J38*N38-J39*O37</f>
        <v>-47.999999999999986</v>
      </c>
      <c r="Y40" s="3">
        <f t="shared" ref="Y40:Y46" si="19">X39</f>
        <v>72</v>
      </c>
      <c r="AA40" s="3">
        <v>12</v>
      </c>
      <c r="AB40" s="3" t="e">
        <f t="shared" ref="AB40:AC40" si="20">AB39</f>
        <v>#REF!</v>
      </c>
      <c r="AC40" s="68">
        <f>AD39</f>
        <v>3.9999999999999991</v>
      </c>
      <c r="AD40" s="3">
        <f>AE39</f>
        <v>-4.0000000000000018</v>
      </c>
      <c r="AE40" s="3">
        <f>AF39</f>
        <v>4.0000000000000018</v>
      </c>
      <c r="AF40" s="3">
        <f>AG39</f>
        <v>-104</v>
      </c>
      <c r="AG40" s="3">
        <f>T39</f>
        <v>-4.0000000000000036</v>
      </c>
      <c r="AH40" s="3">
        <f>AI39</f>
        <v>0</v>
      </c>
      <c r="AI40" s="3">
        <f>AI39</f>
        <v>0</v>
      </c>
      <c r="AJ40" s="3">
        <f>AJ39</f>
        <v>-7.9999999999999991</v>
      </c>
      <c r="AK40" s="3">
        <f>AK39</f>
        <v>-8</v>
      </c>
      <c r="AL40" s="27" t="s">
        <v>28</v>
      </c>
      <c r="AM40" s="3">
        <v>12</v>
      </c>
    </row>
    <row r="41" spans="1:39" x14ac:dyDescent="0.25">
      <c r="A41" s="3">
        <v>13</v>
      </c>
      <c r="B41" s="3">
        <v>13</v>
      </c>
      <c r="C41" s="9">
        <f t="shared" si="10"/>
        <v>-6</v>
      </c>
      <c r="D41" s="7">
        <f t="shared" si="10"/>
        <v>7</v>
      </c>
      <c r="E41" s="5">
        <f t="shared" si="10"/>
        <v>8</v>
      </c>
      <c r="F41" s="4">
        <f t="shared" si="10"/>
        <v>-9</v>
      </c>
      <c r="G41" s="9">
        <f t="shared" si="10"/>
        <v>10</v>
      </c>
      <c r="H41" s="7">
        <f t="shared" si="10"/>
        <v>-11</v>
      </c>
      <c r="I41" s="5">
        <f t="shared" si="10"/>
        <v>12</v>
      </c>
      <c r="J41" s="4">
        <v>13</v>
      </c>
      <c r="K41" s="9" t="str">
        <f t="shared" si="13"/>
        <v>-6,7
10,-11</v>
      </c>
      <c r="L41" s="5" t="str">
        <f t="shared" si="18"/>
        <v>-6,8
10,12</v>
      </c>
      <c r="M41" s="4"/>
      <c r="N41" s="9">
        <f>E57</f>
        <v>-4.0000000000000036</v>
      </c>
      <c r="O41" s="5">
        <f>O57</f>
        <v>-152</v>
      </c>
      <c r="P41" s="4">
        <f t="shared" si="15"/>
        <v>0</v>
      </c>
      <c r="Q41" s="75"/>
      <c r="R41" s="76"/>
      <c r="S41" s="81"/>
      <c r="T41" s="75"/>
      <c r="U41" s="76"/>
      <c r="V41" s="81"/>
      <c r="W41" s="3">
        <v>13</v>
      </c>
      <c r="X41" s="3">
        <f>X40+J40*N37</f>
        <v>-96</v>
      </c>
      <c r="Y41" s="3">
        <f t="shared" si="19"/>
        <v>-47.999999999999986</v>
      </c>
      <c r="AA41" s="3">
        <v>13</v>
      </c>
      <c r="AB41" s="3" t="e">
        <f>#REF!</f>
        <v>#REF!</v>
      </c>
      <c r="AC41" s="84">
        <f t="shared" ref="AC41" si="21">AD40</f>
        <v>-4.0000000000000018</v>
      </c>
      <c r="AD41" s="72">
        <f t="shared" ref="AD41" si="22">AE40</f>
        <v>4.0000000000000018</v>
      </c>
      <c r="AE41" s="72">
        <f t="shared" ref="AE41" si="23">AF40</f>
        <v>-104</v>
      </c>
      <c r="AF41" s="72">
        <f t="shared" ref="AF41" si="24">AG40</f>
        <v>-4.0000000000000036</v>
      </c>
      <c r="AG41" s="72">
        <f>T40</f>
        <v>172</v>
      </c>
      <c r="AH41" s="3">
        <f>AI40</f>
        <v>0</v>
      </c>
      <c r="AI41" s="3">
        <f>AJ40</f>
        <v>-7.9999999999999991</v>
      </c>
      <c r="AJ41" s="3">
        <f>AK40</f>
        <v>-8</v>
      </c>
      <c r="AK41" s="3">
        <f>O40</f>
        <v>118</v>
      </c>
      <c r="AL41" s="27" t="s">
        <v>27</v>
      </c>
      <c r="AM41" s="3">
        <v>13</v>
      </c>
    </row>
    <row r="42" spans="1:39" x14ac:dyDescent="0.25">
      <c r="A42" s="3">
        <v>14</v>
      </c>
      <c r="B42" s="3">
        <v>14</v>
      </c>
      <c r="C42" s="9">
        <f t="shared" si="10"/>
        <v>7</v>
      </c>
      <c r="D42" s="7">
        <f t="shared" si="10"/>
        <v>8</v>
      </c>
      <c r="E42" s="5">
        <f t="shared" si="10"/>
        <v>-9</v>
      </c>
      <c r="F42" s="4">
        <f t="shared" si="10"/>
        <v>10</v>
      </c>
      <c r="G42" s="9">
        <f t="shared" si="10"/>
        <v>-11</v>
      </c>
      <c r="H42" s="7">
        <f t="shared" si="10"/>
        <v>12</v>
      </c>
      <c r="I42" s="5">
        <f t="shared" si="10"/>
        <v>13</v>
      </c>
      <c r="J42" s="4">
        <v>-14</v>
      </c>
      <c r="K42" s="9" t="str">
        <f t="shared" si="13"/>
        <v>7,8
-11,12</v>
      </c>
      <c r="L42" s="5"/>
      <c r="M42" s="4"/>
      <c r="N42" s="9">
        <f>F57</f>
        <v>172</v>
      </c>
      <c r="O42" s="5">
        <f>L42</f>
        <v>0</v>
      </c>
      <c r="P42" s="4">
        <f t="shared" si="15"/>
        <v>0</v>
      </c>
      <c r="Q42" s="75" t="str">
        <f t="shared" si="11"/>
        <v>-9,10
13,-14</v>
      </c>
      <c r="R42" s="76"/>
      <c r="S42" s="81"/>
      <c r="T42" s="75">
        <f>J56</f>
        <v>-4.0000000000000089</v>
      </c>
      <c r="U42" s="76"/>
      <c r="V42" s="81"/>
      <c r="W42" s="3">
        <v>14</v>
      </c>
      <c r="X42" s="3">
        <f>J41*N41-J42*O40</f>
        <v>1600</v>
      </c>
      <c r="Y42" s="3">
        <f t="shared" si="19"/>
        <v>-96</v>
      </c>
      <c r="AA42" s="3">
        <v>14</v>
      </c>
      <c r="AB42" s="3" t="e">
        <f>#REF!</f>
        <v>#REF!</v>
      </c>
      <c r="AC42" s="68"/>
      <c r="AD42" s="3"/>
      <c r="AE42" s="3"/>
      <c r="AF42" s="3"/>
      <c r="AG42" s="3"/>
      <c r="AH42" s="28">
        <f>AI41</f>
        <v>-7.9999999999999991</v>
      </c>
      <c r="AI42" s="28">
        <f>AJ41</f>
        <v>-8</v>
      </c>
      <c r="AJ42" s="28">
        <f>AK41</f>
        <v>118</v>
      </c>
      <c r="AK42" s="28">
        <f>O41</f>
        <v>-152</v>
      </c>
      <c r="AL42" s="27" t="s">
        <v>26</v>
      </c>
      <c r="AM42" s="3">
        <v>14</v>
      </c>
    </row>
    <row r="43" spans="1:39" x14ac:dyDescent="0.25">
      <c r="A43" s="3">
        <v>15</v>
      </c>
      <c r="B43" s="3">
        <v>15</v>
      </c>
      <c r="C43" s="9">
        <f t="shared" si="10"/>
        <v>8</v>
      </c>
      <c r="D43" s="7">
        <f t="shared" si="10"/>
        <v>-9</v>
      </c>
      <c r="E43" s="5">
        <f t="shared" si="10"/>
        <v>10</v>
      </c>
      <c r="F43" s="4">
        <f t="shared" si="10"/>
        <v>-11</v>
      </c>
      <c r="G43" s="9">
        <f t="shared" si="10"/>
        <v>12</v>
      </c>
      <c r="H43" s="7">
        <f t="shared" si="10"/>
        <v>13</v>
      </c>
      <c r="I43" s="5">
        <f t="shared" si="10"/>
        <v>-14</v>
      </c>
      <c r="J43" s="4">
        <v>15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15"/>
        <v>0</v>
      </c>
      <c r="Q43" s="75" t="str">
        <f t="shared" si="11"/>
        <v>10,-11
-14,15</v>
      </c>
      <c r="R43" s="76"/>
      <c r="S43" s="81"/>
      <c r="T43" s="75">
        <f>K56</f>
        <v>-3.9999999999999858</v>
      </c>
      <c r="U43" s="76"/>
      <c r="V43" s="81"/>
      <c r="W43" s="3">
        <v>15</v>
      </c>
      <c r="X43" s="3">
        <f>X42+J43*N40</f>
        <v>40</v>
      </c>
      <c r="Y43" s="3">
        <f t="shared" si="19"/>
        <v>1600</v>
      </c>
      <c r="AA43" s="3">
        <v>15</v>
      </c>
      <c r="AB43" s="3" t="e">
        <f>#REF!</f>
        <v>#REF!</v>
      </c>
      <c r="AC43" s="69"/>
      <c r="AD43" s="9"/>
      <c r="AE43" s="9"/>
      <c r="AF43" s="9"/>
      <c r="AG43" s="9"/>
      <c r="AH43" s="3"/>
      <c r="AI43" s="3"/>
      <c r="AJ43" s="3"/>
      <c r="AK43" s="3"/>
      <c r="AL43" s="3" t="s">
        <v>25</v>
      </c>
      <c r="AM43" s="3">
        <v>15</v>
      </c>
    </row>
    <row r="44" spans="1:39" x14ac:dyDescent="0.25">
      <c r="A44" s="3">
        <v>16</v>
      </c>
      <c r="B44" s="3">
        <v>16</v>
      </c>
      <c r="C44" s="9">
        <f t="shared" si="10"/>
        <v>-9</v>
      </c>
      <c r="D44" s="7">
        <f t="shared" si="10"/>
        <v>10</v>
      </c>
      <c r="E44" s="5">
        <f t="shared" si="10"/>
        <v>-11</v>
      </c>
      <c r="F44" s="4">
        <f t="shared" si="10"/>
        <v>12</v>
      </c>
      <c r="G44" s="9">
        <f t="shared" si="10"/>
        <v>13</v>
      </c>
      <c r="H44" s="7">
        <f t="shared" si="10"/>
        <v>-14</v>
      </c>
      <c r="I44" s="5">
        <f t="shared" si="10"/>
        <v>15</v>
      </c>
      <c r="J44" s="4">
        <v>-16</v>
      </c>
      <c r="K44" s="9" t="str">
        <f t="shared" si="13"/>
        <v>-9,10
13,-14</v>
      </c>
      <c r="L44" s="5"/>
      <c r="M44" s="4"/>
      <c r="N44" s="9">
        <f>D58</f>
        <v>-4.0000000000000089</v>
      </c>
      <c r="O44" s="5">
        <f>L44</f>
        <v>0</v>
      </c>
      <c r="P44" s="4">
        <f t="shared" si="15"/>
        <v>0</v>
      </c>
      <c r="Q44" s="75" t="str">
        <f t="shared" si="11"/>
        <v>-11,12
15,-16</v>
      </c>
      <c r="R44" s="76"/>
      <c r="S44" s="81"/>
      <c r="T44" s="75">
        <f>L56</f>
        <v>-4.0000000000000124</v>
      </c>
      <c r="U44" s="76"/>
      <c r="V44" s="81"/>
      <c r="W44" s="3">
        <v>16</v>
      </c>
      <c r="X44" s="3">
        <f>J42*N42-J43*O41</f>
        <v>-128</v>
      </c>
      <c r="Y44" s="3">
        <f t="shared" si="19"/>
        <v>40</v>
      </c>
      <c r="AA44" s="3">
        <v>16</v>
      </c>
      <c r="AB44" s="3"/>
      <c r="AC44" s="68"/>
      <c r="AD44" s="3"/>
      <c r="AE44" s="3"/>
      <c r="AF44" s="3"/>
      <c r="AG44" s="3"/>
      <c r="AH44" s="3"/>
      <c r="AI44" s="3"/>
      <c r="AJ44" s="3"/>
      <c r="AK44" s="3"/>
      <c r="AL44" s="27" t="s">
        <v>24</v>
      </c>
      <c r="AM44" s="3">
        <v>16</v>
      </c>
    </row>
    <row r="45" spans="1:39" x14ac:dyDescent="0.25">
      <c r="A45" s="3">
        <v>17</v>
      </c>
      <c r="B45" s="3" t="s">
        <v>10</v>
      </c>
      <c r="C45" s="9">
        <f>C44</f>
        <v>-9</v>
      </c>
      <c r="D45" s="7">
        <f>D44</f>
        <v>10</v>
      </c>
      <c r="E45" s="5">
        <f>E44</f>
        <v>-11</v>
      </c>
      <c r="F45" s="4">
        <f>F44</f>
        <v>12</v>
      </c>
      <c r="G45" s="9">
        <f>G44</f>
        <v>13</v>
      </c>
      <c r="H45" s="7">
        <f>H44</f>
        <v>-14</v>
      </c>
      <c r="I45" s="5">
        <f>I44</f>
        <v>15</v>
      </c>
      <c r="J45" s="4">
        <f>J44</f>
        <v>-16</v>
      </c>
      <c r="K45" s="9" t="str">
        <f t="shared" si="13"/>
        <v>-9,10
13,-14</v>
      </c>
      <c r="L45" s="5"/>
      <c r="M45" s="4"/>
      <c r="N45" s="9">
        <f>E58</f>
        <v>-3.9999999999999858</v>
      </c>
      <c r="O45" s="5">
        <f>L45</f>
        <v>0</v>
      </c>
      <c r="P45" s="4">
        <f t="shared" si="15"/>
        <v>0</v>
      </c>
      <c r="Q45" s="75"/>
      <c r="R45" s="76"/>
      <c r="S45" s="81"/>
      <c r="T45" s="75"/>
      <c r="U45" s="76"/>
      <c r="V45" s="81"/>
      <c r="W45" s="3">
        <v>17</v>
      </c>
      <c r="X45" s="3">
        <f>X44+J44*N41</f>
        <v>-63.999999999999943</v>
      </c>
      <c r="Y45" s="3">
        <f t="shared" si="19"/>
        <v>-128</v>
      </c>
      <c r="Z45" s="3"/>
      <c r="AA45" s="3">
        <v>17</v>
      </c>
      <c r="AB45" s="68"/>
      <c r="AC45" s="3"/>
      <c r="AD45" s="3"/>
      <c r="AE45" s="3"/>
      <c r="AF45" s="3"/>
      <c r="AG45" s="3"/>
      <c r="AH45" s="3"/>
      <c r="AI45" s="3"/>
      <c r="AJ45" s="3"/>
      <c r="AK45" s="27"/>
      <c r="AM45" s="3">
        <v>17</v>
      </c>
    </row>
    <row r="46" spans="1:39" x14ac:dyDescent="0.25">
      <c r="A46" s="3">
        <v>18</v>
      </c>
      <c r="B46" s="3" t="s">
        <v>10</v>
      </c>
      <c r="C46" s="9">
        <f t="shared" ref="C46:J47" si="25">C45</f>
        <v>-9</v>
      </c>
      <c r="D46" s="7">
        <f t="shared" si="25"/>
        <v>10</v>
      </c>
      <c r="E46" s="5">
        <f t="shared" si="25"/>
        <v>-11</v>
      </c>
      <c r="F46" s="4">
        <f t="shared" si="25"/>
        <v>12</v>
      </c>
      <c r="G46" s="9">
        <f t="shared" si="25"/>
        <v>13</v>
      </c>
      <c r="H46" s="7">
        <f t="shared" si="25"/>
        <v>-14</v>
      </c>
      <c r="I46" s="5">
        <f t="shared" si="25"/>
        <v>15</v>
      </c>
      <c r="J46" s="4">
        <f t="shared" si="25"/>
        <v>-16</v>
      </c>
      <c r="K46" s="9" t="str">
        <f t="shared" si="13"/>
        <v>-9,10
13,-14</v>
      </c>
      <c r="L46" s="5"/>
      <c r="M46" s="4"/>
      <c r="N46" s="9">
        <f>F58</f>
        <v>-4.0000000000000124</v>
      </c>
      <c r="O46" s="5">
        <f>L46</f>
        <v>0</v>
      </c>
      <c r="P46" s="4">
        <f t="shared" si="15"/>
        <v>0</v>
      </c>
      <c r="Q46" s="75"/>
      <c r="R46" s="76"/>
      <c r="S46" s="81"/>
      <c r="T46" s="75"/>
      <c r="U46" s="76"/>
      <c r="V46" s="81"/>
      <c r="W46" s="3">
        <v>18</v>
      </c>
      <c r="X46" s="3"/>
      <c r="Y46" s="3">
        <f t="shared" si="19"/>
        <v>-63.999999999999943</v>
      </c>
      <c r="Z46" s="3"/>
      <c r="AA46" s="3">
        <v>18</v>
      </c>
      <c r="AB46" s="68"/>
      <c r="AC46" s="3"/>
      <c r="AD46" s="3"/>
      <c r="AE46" s="3"/>
      <c r="AF46" s="3"/>
      <c r="AG46" s="3"/>
      <c r="AH46" s="3"/>
      <c r="AI46" s="3"/>
      <c r="AJ46" s="3"/>
      <c r="AK46" s="3"/>
      <c r="AM46" s="3">
        <v>18</v>
      </c>
    </row>
    <row r="47" spans="1:39" ht="16.5" thickBot="1" x14ac:dyDescent="0.3">
      <c r="A47" s="3">
        <v>19</v>
      </c>
      <c r="B47" s="3"/>
      <c r="C47" s="9">
        <f t="shared" si="25"/>
        <v>-9</v>
      </c>
      <c r="D47" s="7">
        <f t="shared" si="25"/>
        <v>10</v>
      </c>
      <c r="E47" s="5">
        <f t="shared" si="25"/>
        <v>-11</v>
      </c>
      <c r="F47" s="4">
        <f t="shared" si="25"/>
        <v>12</v>
      </c>
      <c r="G47" s="9">
        <f t="shared" si="25"/>
        <v>13</v>
      </c>
      <c r="H47" s="7">
        <f t="shared" si="25"/>
        <v>-14</v>
      </c>
      <c r="I47" s="5">
        <f t="shared" si="25"/>
        <v>15</v>
      </c>
      <c r="J47" s="4">
        <f t="shared" si="25"/>
        <v>-16</v>
      </c>
      <c r="K47" s="3"/>
      <c r="L47" s="3"/>
      <c r="M47" s="3"/>
      <c r="N47" s="3"/>
      <c r="O47" s="3"/>
      <c r="P47" s="3"/>
      <c r="Q47" s="77"/>
      <c r="R47" s="78"/>
      <c r="S47" s="82"/>
      <c r="T47" s="77"/>
      <c r="U47" s="78"/>
      <c r="V47" s="82"/>
      <c r="W47" s="3">
        <v>19</v>
      </c>
      <c r="X47" s="3"/>
      <c r="Y47" s="3"/>
      <c r="Z47" s="3"/>
      <c r="AA47" s="3">
        <v>19</v>
      </c>
      <c r="AB47" s="68"/>
      <c r="AC47" s="3"/>
      <c r="AD47" s="3"/>
      <c r="AE47" s="3"/>
      <c r="AM47" s="3">
        <v>19</v>
      </c>
    </row>
    <row r="48" spans="1:39" x14ac:dyDescent="0.25">
      <c r="A48" s="3">
        <v>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68"/>
      <c r="S48" s="68"/>
      <c r="T48" s="68"/>
      <c r="U48" s="68"/>
      <c r="V48" s="3"/>
      <c r="W48" s="3">
        <v>20</v>
      </c>
      <c r="X48" s="3"/>
      <c r="Y48" s="3"/>
      <c r="Z48" s="3"/>
      <c r="AA48" s="3">
        <v>20</v>
      </c>
      <c r="AB48" s="68"/>
      <c r="AC48" s="3"/>
      <c r="AD48" s="3"/>
      <c r="AM48" s="3">
        <v>20</v>
      </c>
    </row>
    <row r="49" spans="3:39" x14ac:dyDescent="0.25">
      <c r="AA49" s="61"/>
      <c r="AB49" s="61"/>
      <c r="AM49" s="61"/>
    </row>
    <row r="50" spans="3:39" x14ac:dyDescent="0.25">
      <c r="AA50" s="61"/>
      <c r="AB50" s="61"/>
      <c r="AM50" s="61"/>
    </row>
    <row r="51" spans="3:39" x14ac:dyDescent="0.25">
      <c r="C51">
        <f>J29</f>
        <v>1</v>
      </c>
      <c r="D51">
        <f>J30</f>
        <v>2</v>
      </c>
      <c r="E51">
        <f>J31</f>
        <v>-3</v>
      </c>
      <c r="F51">
        <f>J32</f>
        <v>-4</v>
      </c>
      <c r="H51" s="19">
        <f>C51</f>
        <v>1</v>
      </c>
      <c r="I51" s="19">
        <f>E51</f>
        <v>-3</v>
      </c>
      <c r="J51" s="19"/>
      <c r="K51" s="19">
        <f>D51</f>
        <v>2</v>
      </c>
      <c r="L51" s="19">
        <f>F51</f>
        <v>-4</v>
      </c>
      <c r="M51" s="19"/>
      <c r="N51" s="19">
        <f>C52</f>
        <v>-5</v>
      </c>
      <c r="O51" s="19">
        <f>E52</f>
        <v>7</v>
      </c>
      <c r="P51" s="19"/>
      <c r="Q51" s="19">
        <f>D52</f>
        <v>-6</v>
      </c>
      <c r="R51" s="19">
        <f>F52</f>
        <v>8</v>
      </c>
      <c r="T51" s="18">
        <f>C51</f>
        <v>1</v>
      </c>
      <c r="U51" s="18">
        <f>F51</f>
        <v>-4</v>
      </c>
      <c r="AA51" s="61"/>
      <c r="AB51" s="61"/>
      <c r="AM51" s="61"/>
    </row>
    <row r="52" spans="3:39" x14ac:dyDescent="0.25">
      <c r="C52">
        <f>J33</f>
        <v>-5</v>
      </c>
      <c r="D52">
        <f>J34</f>
        <v>-6</v>
      </c>
      <c r="E52">
        <f>J35</f>
        <v>7</v>
      </c>
      <c r="F52">
        <f>J36</f>
        <v>8</v>
      </c>
      <c r="H52" s="19">
        <f>C52</f>
        <v>-5</v>
      </c>
      <c r="I52" s="19">
        <f>E52</f>
        <v>7</v>
      </c>
      <c r="J52" s="19"/>
      <c r="K52" s="19">
        <f>D52</f>
        <v>-6</v>
      </c>
      <c r="L52" s="19">
        <f>F52</f>
        <v>8</v>
      </c>
      <c r="M52" s="19"/>
      <c r="N52" s="19">
        <f>C53</f>
        <v>-9</v>
      </c>
      <c r="O52" s="19">
        <f>E53</f>
        <v>-11</v>
      </c>
      <c r="P52" s="19"/>
      <c r="Q52" s="19">
        <f>D53</f>
        <v>10</v>
      </c>
      <c r="R52" s="19">
        <f>F53</f>
        <v>12</v>
      </c>
      <c r="T52" s="18">
        <f>C52</f>
        <v>-5</v>
      </c>
      <c r="U52" s="18">
        <f>F52</f>
        <v>8</v>
      </c>
      <c r="AA52" s="61"/>
      <c r="AB52" s="61"/>
      <c r="AM52" s="61"/>
    </row>
    <row r="53" spans="3:39" x14ac:dyDescent="0.25">
      <c r="C53">
        <f>J37</f>
        <v>-9</v>
      </c>
      <c r="D53">
        <f>J38</f>
        <v>10</v>
      </c>
      <c r="E53">
        <f>J39</f>
        <v>-11</v>
      </c>
      <c r="F53">
        <f>J40</f>
        <v>12</v>
      </c>
    </row>
    <row r="54" spans="3:39" x14ac:dyDescent="0.25">
      <c r="C54">
        <f>J41</f>
        <v>13</v>
      </c>
      <c r="D54">
        <f>J42</f>
        <v>-14</v>
      </c>
      <c r="E54">
        <f>J43</f>
        <v>15</v>
      </c>
      <c r="F54">
        <f>J44</f>
        <v>-16</v>
      </c>
    </row>
    <row r="56" spans="3:39" ht="17.25" x14ac:dyDescent="0.3">
      <c r="C56" t="s">
        <v>107</v>
      </c>
      <c r="D56" s="58">
        <f>MDETERM(C51:D52)</f>
        <v>3.9999999999999991</v>
      </c>
      <c r="E56" s="58">
        <f>MDETERM(D51:E52)</f>
        <v>-4.0000000000000018</v>
      </c>
      <c r="F56" s="58">
        <f>MDETERM(E51:F52)</f>
        <v>4.0000000000000018</v>
      </c>
      <c r="G56" s="10">
        <f>D57</f>
        <v>-104</v>
      </c>
      <c r="H56" s="10">
        <f>E57</f>
        <v>-4.0000000000000036</v>
      </c>
      <c r="I56" s="10">
        <f>F57</f>
        <v>172</v>
      </c>
      <c r="J56" s="10">
        <f>D58</f>
        <v>-4.0000000000000089</v>
      </c>
      <c r="K56" s="10">
        <f>E58</f>
        <v>-3.9999999999999858</v>
      </c>
      <c r="L56" s="10">
        <f>F58</f>
        <v>-4.0000000000000124</v>
      </c>
      <c r="M56" s="10"/>
      <c r="N56" s="6">
        <f>MDETERM(H51:I52)</f>
        <v>-7.9999999999999991</v>
      </c>
      <c r="O56" s="6">
        <f>MDETERM(K51:L52)</f>
        <v>-8</v>
      </c>
      <c r="P56">
        <f>N57</f>
        <v>118</v>
      </c>
      <c r="Q56">
        <f>O57</f>
        <v>-152</v>
      </c>
      <c r="T56">
        <f>MDETERM(T51:U52)</f>
        <v>-12</v>
      </c>
    </row>
    <row r="57" spans="3:39" ht="17.25" x14ac:dyDescent="0.3">
      <c r="D57" s="58">
        <f t="shared" ref="D57:F58" si="26">MDETERM(C52:D53)</f>
        <v>-104</v>
      </c>
      <c r="E57" s="58">
        <f t="shared" si="26"/>
        <v>-4.0000000000000036</v>
      </c>
      <c r="F57" s="58">
        <f t="shared" si="26"/>
        <v>172</v>
      </c>
      <c r="N57" s="6">
        <f>MDETERM(N51:O52)</f>
        <v>118</v>
      </c>
      <c r="O57" s="6">
        <f>MDETERM(Q51:R52)</f>
        <v>-152</v>
      </c>
    </row>
    <row r="58" spans="3:39" ht="17.25" x14ac:dyDescent="0.3">
      <c r="D58" s="58">
        <f t="shared" si="26"/>
        <v>-4.0000000000000089</v>
      </c>
      <c r="E58" s="58">
        <f t="shared" si="26"/>
        <v>-3.9999999999999858</v>
      </c>
      <c r="F58" s="58">
        <f t="shared" si="26"/>
        <v>-4.0000000000000124</v>
      </c>
    </row>
    <row r="61" spans="3:39" x14ac:dyDescent="0.25">
      <c r="C61" t="s">
        <v>108</v>
      </c>
      <c r="D61">
        <f>MDETERM(C51:E53)</f>
        <v>72.000000000000028</v>
      </c>
      <c r="E61">
        <f>MDETERM(D51:F53)</f>
        <v>-95.999999999999943</v>
      </c>
      <c r="F61">
        <f>D62</f>
        <v>39.999999999999822</v>
      </c>
      <c r="G61">
        <f>E62</f>
        <v>-63.999999999999794</v>
      </c>
    </row>
    <row r="62" spans="3:39" x14ac:dyDescent="0.25">
      <c r="D62">
        <f>MDETERM(C52:E54)</f>
        <v>39.999999999999822</v>
      </c>
      <c r="E62">
        <f>MDETERM(D52:F54)</f>
        <v>-63.999999999999794</v>
      </c>
    </row>
    <row r="65" spans="3:4" x14ac:dyDescent="0.25">
      <c r="C65" t="s">
        <v>109</v>
      </c>
      <c r="D65">
        <f>MDETERM(C51:F54)</f>
        <v>191.9999999999996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45C2-1677-4D08-B8E2-1C8D16AEA4A9}">
  <dimension ref="A1:AR167"/>
  <sheetViews>
    <sheetView topLeftCell="X1" zoomScale="85" zoomScaleNormal="85" workbookViewId="0">
      <selection activeCell="AE2" sqref="AE2"/>
    </sheetView>
  </sheetViews>
  <sheetFormatPr defaultRowHeight="15.75" x14ac:dyDescent="0.25"/>
  <cols>
    <col min="1" max="1" width="5.42578125" bestFit="1" customWidth="1"/>
    <col min="2" max="2" width="11" bestFit="1" customWidth="1"/>
    <col min="3" max="10" width="16" bestFit="1" customWidth="1"/>
    <col min="11" max="12" width="18.28515625" bestFit="1" customWidth="1"/>
    <col min="13" max="13" width="17.7109375" bestFit="1" customWidth="1"/>
    <col min="14" max="14" width="12.140625" bestFit="1" customWidth="1"/>
    <col min="15" max="15" width="10" bestFit="1" customWidth="1"/>
    <col min="16" max="16" width="9.5703125" bestFit="1" customWidth="1"/>
    <col min="17" max="18" width="18.28515625" bestFit="1" customWidth="1"/>
    <col min="19" max="19" width="17.7109375" bestFit="1" customWidth="1"/>
    <col min="20" max="22" width="9.5703125" bestFit="1" customWidth="1"/>
    <col min="23" max="23" width="5.42578125" bestFit="1" customWidth="1"/>
    <col min="24" max="25" width="19.28515625" bestFit="1" customWidth="1"/>
    <col min="26" max="26" width="18.85546875" bestFit="1" customWidth="1"/>
    <col min="27" max="27" width="19.28515625" bestFit="1" customWidth="1"/>
    <col min="28" max="28" width="18.85546875" bestFit="1" customWidth="1"/>
    <col min="29" max="29" width="11.42578125" bestFit="1" customWidth="1"/>
    <col min="30" max="30" width="10.7109375" bestFit="1" customWidth="1"/>
    <col min="31" max="31" width="15" bestFit="1" customWidth="1"/>
    <col min="32" max="32" width="6.85546875" bestFit="1" customWidth="1"/>
    <col min="33" max="36" width="27.85546875" bestFit="1" customWidth="1"/>
    <col min="37" max="37" width="27.42578125" bestFit="1" customWidth="1"/>
    <col min="38" max="40" width="26.28515625" bestFit="1" customWidth="1"/>
    <col min="41" max="41" width="25.85546875" bestFit="1" customWidth="1"/>
    <col min="42" max="42" width="6.42578125" bestFit="1" customWidth="1"/>
  </cols>
  <sheetData>
    <row r="1" spans="1:43" x14ac:dyDescent="0.25">
      <c r="A1" s="3" t="s">
        <v>1</v>
      </c>
      <c r="B1" s="3" t="s">
        <v>2</v>
      </c>
      <c r="C1" s="9" t="s">
        <v>121</v>
      </c>
      <c r="D1" s="7" t="s">
        <v>122</v>
      </c>
      <c r="E1" s="5" t="s">
        <v>123</v>
      </c>
      <c r="F1" s="4" t="s">
        <v>124</v>
      </c>
      <c r="G1" s="9" t="s">
        <v>125</v>
      </c>
      <c r="H1" s="7" t="s">
        <v>126</v>
      </c>
      <c r="I1" s="5" t="s">
        <v>127</v>
      </c>
      <c r="J1" s="4" t="s">
        <v>128</v>
      </c>
      <c r="K1" s="9" t="s">
        <v>12</v>
      </c>
      <c r="L1" s="5"/>
      <c r="M1" s="4"/>
      <c r="N1" s="72" t="s">
        <v>120</v>
      </c>
      <c r="O1" s="30" t="s">
        <v>129</v>
      </c>
      <c r="P1" s="79" t="s">
        <v>131</v>
      </c>
      <c r="W1" s="3" t="s">
        <v>1</v>
      </c>
      <c r="X1" s="3" t="s">
        <v>35</v>
      </c>
      <c r="Y1" s="3"/>
      <c r="Z1" s="3"/>
      <c r="AB1" s="3" t="s">
        <v>80</v>
      </c>
      <c r="AC1" s="3" t="s">
        <v>68</v>
      </c>
      <c r="AD1" s="3" t="s">
        <v>69</v>
      </c>
      <c r="AE1" s="3" t="s">
        <v>1</v>
      </c>
      <c r="AF1" s="3" t="s">
        <v>49</v>
      </c>
      <c r="AG1" s="3" t="s">
        <v>15</v>
      </c>
      <c r="AH1" s="3" t="s">
        <v>135</v>
      </c>
      <c r="AI1" s="3" t="s">
        <v>16</v>
      </c>
      <c r="AJ1" s="3" t="s">
        <v>17</v>
      </c>
      <c r="AK1" s="3" t="s">
        <v>14</v>
      </c>
      <c r="AL1" s="3" t="s">
        <v>18</v>
      </c>
      <c r="AM1" s="3" t="s">
        <v>19</v>
      </c>
      <c r="AN1" s="3" t="s">
        <v>20</v>
      </c>
      <c r="AO1" s="3" t="s">
        <v>33</v>
      </c>
      <c r="AP1" s="3" t="s">
        <v>23</v>
      </c>
      <c r="AQ1" s="3" t="s">
        <v>1</v>
      </c>
    </row>
    <row r="2" spans="1:43" x14ac:dyDescent="0.25">
      <c r="A2" s="3">
        <v>0</v>
      </c>
      <c r="B2" s="3"/>
      <c r="C2" s="9"/>
      <c r="D2" s="7"/>
      <c r="E2" s="5"/>
      <c r="F2" s="4"/>
      <c r="G2" s="9"/>
      <c r="H2" s="7"/>
      <c r="I2" s="5"/>
      <c r="J2" s="4"/>
      <c r="K2" s="9"/>
      <c r="L2" s="5"/>
      <c r="M2" s="4"/>
      <c r="N2" s="72"/>
      <c r="O2" s="30"/>
      <c r="P2" s="79"/>
      <c r="W2" s="3">
        <v>0</v>
      </c>
      <c r="X2" s="3"/>
      <c r="Y2" s="3"/>
      <c r="Z2" s="3"/>
      <c r="AB2" s="3"/>
      <c r="AC2" s="3"/>
      <c r="AD2" s="3"/>
      <c r="AE2" s="3">
        <v>0</v>
      </c>
      <c r="AF2" s="3"/>
      <c r="AG2" s="36" t="s">
        <v>75</v>
      </c>
      <c r="AH2" s="3" t="s">
        <v>93</v>
      </c>
      <c r="AI2" s="3" t="s">
        <v>96</v>
      </c>
      <c r="AJ2" s="3" t="s">
        <v>78</v>
      </c>
      <c r="AK2" s="3" t="s">
        <v>76</v>
      </c>
      <c r="AL2" s="3" t="s">
        <v>102</v>
      </c>
      <c r="AM2" s="3" t="s">
        <v>72</v>
      </c>
      <c r="AN2" s="3" t="s">
        <v>79</v>
      </c>
      <c r="AO2" s="3" t="s">
        <v>77</v>
      </c>
      <c r="AP2" s="3"/>
      <c r="AQ2" s="3">
        <v>0</v>
      </c>
    </row>
    <row r="3" spans="1:43" x14ac:dyDescent="0.25">
      <c r="A3" s="3">
        <v>1</v>
      </c>
      <c r="B3" s="3">
        <v>1</v>
      </c>
      <c r="C3" s="9" t="s">
        <v>10</v>
      </c>
      <c r="D3" s="7" t="s">
        <v>10</v>
      </c>
      <c r="E3" s="5" t="s">
        <v>10</v>
      </c>
      <c r="F3" s="4" t="s">
        <v>10</v>
      </c>
      <c r="G3" s="9" t="s">
        <v>10</v>
      </c>
      <c r="H3" s="7" t="s">
        <v>10</v>
      </c>
      <c r="I3" s="5" t="s">
        <v>10</v>
      </c>
      <c r="J3" s="4">
        <v>1</v>
      </c>
      <c r="K3" s="9"/>
      <c r="L3" s="5"/>
      <c r="M3" s="4"/>
      <c r="N3" s="72"/>
      <c r="O3" s="30"/>
      <c r="P3" s="79"/>
      <c r="W3" s="3">
        <v>1</v>
      </c>
      <c r="X3" s="3"/>
      <c r="Y3" s="3"/>
      <c r="Z3" s="3"/>
      <c r="AB3" s="3"/>
      <c r="AC3" s="3"/>
      <c r="AD3" s="3"/>
      <c r="AE3" s="3">
        <v>1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>
        <v>1</v>
      </c>
    </row>
    <row r="4" spans="1:43" ht="16.5" thickBot="1" x14ac:dyDescent="0.3">
      <c r="A4" s="3">
        <v>2</v>
      </c>
      <c r="B4" s="3">
        <v>2</v>
      </c>
      <c r="C4" s="9" t="str">
        <f t="shared" ref="C4:I18" si="0">D3</f>
        <v>X</v>
      </c>
      <c r="D4" s="7" t="str">
        <f t="shared" si="0"/>
        <v>X</v>
      </c>
      <c r="E4" s="5" t="str">
        <f t="shared" si="0"/>
        <v>X</v>
      </c>
      <c r="F4" s="4" t="str">
        <f t="shared" si="0"/>
        <v>X</v>
      </c>
      <c r="G4" s="9" t="str">
        <f t="shared" si="0"/>
        <v>X</v>
      </c>
      <c r="H4" s="7" t="str">
        <f t="shared" si="0"/>
        <v>X</v>
      </c>
      <c r="I4" s="5">
        <f>J3</f>
        <v>1</v>
      </c>
      <c r="J4" s="4">
        <v>2</v>
      </c>
      <c r="K4" s="9"/>
      <c r="L4" s="5"/>
      <c r="M4" s="4"/>
      <c r="N4" s="72"/>
      <c r="O4" s="30"/>
      <c r="P4" s="79"/>
      <c r="W4" s="3">
        <v>2</v>
      </c>
      <c r="X4" s="3"/>
      <c r="Y4" s="3"/>
      <c r="Z4" s="3"/>
      <c r="AB4" s="3"/>
      <c r="AC4" s="3"/>
      <c r="AD4" s="3"/>
      <c r="AE4" s="3">
        <v>2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>
        <v>2</v>
      </c>
    </row>
    <row r="5" spans="1:43" x14ac:dyDescent="0.25">
      <c r="A5" s="3">
        <v>3</v>
      </c>
      <c r="B5" s="3">
        <v>3</v>
      </c>
      <c r="C5" s="9" t="str">
        <f t="shared" si="0"/>
        <v>X</v>
      </c>
      <c r="D5" s="7" t="str">
        <f t="shared" si="0"/>
        <v>X</v>
      </c>
      <c r="E5" s="5" t="str">
        <f t="shared" si="0"/>
        <v>X</v>
      </c>
      <c r="F5" s="4" t="str">
        <f t="shared" si="0"/>
        <v>X</v>
      </c>
      <c r="G5" s="9" t="str">
        <f t="shared" si="0"/>
        <v>X</v>
      </c>
      <c r="H5" s="7">
        <f t="shared" si="0"/>
        <v>1</v>
      </c>
      <c r="I5" s="5">
        <f t="shared" si="0"/>
        <v>2</v>
      </c>
      <c r="J5" s="4">
        <v>3</v>
      </c>
      <c r="K5" s="9"/>
      <c r="L5" s="5"/>
      <c r="M5" s="4"/>
      <c r="N5" s="73"/>
      <c r="O5" s="74"/>
      <c r="P5" s="80"/>
      <c r="W5" s="3">
        <v>3</v>
      </c>
      <c r="X5" s="3"/>
      <c r="Y5" s="3"/>
      <c r="Z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>
        <v>3</v>
      </c>
    </row>
    <row r="6" spans="1:43" x14ac:dyDescent="0.25">
      <c r="A6" s="3">
        <v>4</v>
      </c>
      <c r="B6" s="3">
        <v>4</v>
      </c>
      <c r="C6" s="9" t="str">
        <f t="shared" si="0"/>
        <v>X</v>
      </c>
      <c r="D6" s="7" t="str">
        <f t="shared" si="0"/>
        <v>X</v>
      </c>
      <c r="E6" s="5" t="str">
        <f t="shared" si="0"/>
        <v>X</v>
      </c>
      <c r="F6" s="4" t="str">
        <f t="shared" si="0"/>
        <v>X</v>
      </c>
      <c r="G6" s="9">
        <f t="shared" si="0"/>
        <v>1</v>
      </c>
      <c r="H6" s="7">
        <f t="shared" si="0"/>
        <v>2</v>
      </c>
      <c r="I6" s="5">
        <f t="shared" si="0"/>
        <v>3</v>
      </c>
      <c r="J6" s="4">
        <v>4</v>
      </c>
      <c r="K6" s="9"/>
      <c r="L6" s="5"/>
      <c r="M6" s="4"/>
      <c r="N6" s="75"/>
      <c r="O6" s="76"/>
      <c r="P6" s="81"/>
      <c r="W6" s="3">
        <v>4</v>
      </c>
      <c r="X6" s="3"/>
      <c r="Y6" s="3"/>
      <c r="Z6" s="3"/>
      <c r="AB6" s="3"/>
      <c r="AC6" s="3"/>
      <c r="AD6" s="3"/>
      <c r="AE6" s="3">
        <v>4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4</v>
      </c>
    </row>
    <row r="7" spans="1:43" x14ac:dyDescent="0.25">
      <c r="A7" s="3">
        <v>5</v>
      </c>
      <c r="B7" s="3">
        <v>5</v>
      </c>
      <c r="C7" s="9" t="str">
        <f t="shared" si="0"/>
        <v>X</v>
      </c>
      <c r="D7" s="7" t="str">
        <f t="shared" si="0"/>
        <v>X</v>
      </c>
      <c r="E7" s="5" t="str">
        <f t="shared" si="0"/>
        <v>X</v>
      </c>
      <c r="F7" s="4">
        <f t="shared" si="0"/>
        <v>1</v>
      </c>
      <c r="G7" s="9">
        <f t="shared" si="0"/>
        <v>2</v>
      </c>
      <c r="H7" s="7">
        <f t="shared" si="0"/>
        <v>3</v>
      </c>
      <c r="I7" s="5">
        <f t="shared" si="0"/>
        <v>4</v>
      </c>
      <c r="J7" s="4">
        <v>5</v>
      </c>
      <c r="K7" s="9"/>
      <c r="L7" s="5"/>
      <c r="M7" s="4"/>
      <c r="N7" s="75"/>
      <c r="O7" s="76"/>
      <c r="P7" s="81"/>
      <c r="W7" s="3">
        <v>5</v>
      </c>
      <c r="X7" s="3"/>
      <c r="Y7" s="3"/>
      <c r="Z7" s="3"/>
      <c r="AB7" s="3"/>
      <c r="AC7" s="3"/>
      <c r="AD7" s="3"/>
      <c r="AE7" s="3">
        <v>5</v>
      </c>
      <c r="AF7" s="3"/>
      <c r="AG7" s="3"/>
      <c r="AI7" s="3"/>
      <c r="AJ7" s="3"/>
      <c r="AK7" s="3"/>
      <c r="AL7" s="3"/>
      <c r="AM7" s="3"/>
      <c r="AN7" s="3"/>
      <c r="AO7" s="3"/>
      <c r="AP7" s="3"/>
      <c r="AQ7" s="3">
        <v>5</v>
      </c>
    </row>
    <row r="8" spans="1:43" x14ac:dyDescent="0.25">
      <c r="A8" s="3">
        <v>6</v>
      </c>
      <c r="B8" s="3">
        <v>6</v>
      </c>
      <c r="C8" s="9" t="str">
        <f t="shared" si="0"/>
        <v>X</v>
      </c>
      <c r="D8" s="7" t="str">
        <f t="shared" si="0"/>
        <v>X</v>
      </c>
      <c r="E8" s="5">
        <f t="shared" si="0"/>
        <v>1</v>
      </c>
      <c r="F8" s="4">
        <f t="shared" si="0"/>
        <v>2</v>
      </c>
      <c r="G8" s="9">
        <f t="shared" si="0"/>
        <v>3</v>
      </c>
      <c r="H8" s="7">
        <f t="shared" si="0"/>
        <v>4</v>
      </c>
      <c r="I8" s="5">
        <f t="shared" si="0"/>
        <v>5</v>
      </c>
      <c r="J8" s="4">
        <v>6</v>
      </c>
      <c r="K8" s="9"/>
      <c r="L8" s="5"/>
      <c r="M8" s="4"/>
      <c r="N8" s="75" t="str">
        <f>E8 &amp; "," &amp; F8 &amp; CHAR(10) &amp; I8 &amp; "," &amp; J8</f>
        <v>1,2
5,6</v>
      </c>
      <c r="O8" s="76"/>
      <c r="P8" s="81"/>
      <c r="W8" s="3">
        <v>6</v>
      </c>
      <c r="X8" s="3"/>
      <c r="Y8" s="3"/>
      <c r="Z8" s="3"/>
      <c r="AB8" s="3"/>
      <c r="AC8" s="3"/>
      <c r="AD8" s="3"/>
      <c r="AE8" s="3">
        <v>6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6</v>
      </c>
    </row>
    <row r="9" spans="1:43" ht="16.5" thickBot="1" x14ac:dyDescent="0.3">
      <c r="A9" s="3">
        <v>7</v>
      </c>
      <c r="B9" s="3">
        <v>7</v>
      </c>
      <c r="C9" s="9" t="str">
        <f t="shared" si="0"/>
        <v>X</v>
      </c>
      <c r="D9" s="7">
        <f t="shared" si="0"/>
        <v>1</v>
      </c>
      <c r="E9" s="5">
        <f t="shared" si="0"/>
        <v>2</v>
      </c>
      <c r="F9" s="4">
        <f t="shared" si="0"/>
        <v>3</v>
      </c>
      <c r="G9" s="9">
        <f t="shared" si="0"/>
        <v>4</v>
      </c>
      <c r="H9" s="7">
        <f t="shared" si="0"/>
        <v>5</v>
      </c>
      <c r="I9" s="5">
        <f t="shared" si="0"/>
        <v>6</v>
      </c>
      <c r="J9" s="4">
        <v>7</v>
      </c>
      <c r="K9" s="9"/>
      <c r="L9" s="5"/>
      <c r="M9" s="4"/>
      <c r="N9" s="75" t="str">
        <f t="shared" ref="N9:N14" si="1">E9 &amp; "," &amp; F9 &amp; CHAR(10) &amp; I9 &amp; "," &amp; J9</f>
        <v>2,3
6,7</v>
      </c>
      <c r="O9" s="76" t="str">
        <f>D9 &amp; "," &amp; F9 &amp; CHAR(10) &amp; H9 &amp; "," &amp; J9</f>
        <v>1,3
5,7</v>
      </c>
      <c r="P9" s="81"/>
      <c r="W9" s="3">
        <v>7</v>
      </c>
      <c r="X9" s="3"/>
      <c r="Y9" s="3"/>
      <c r="Z9" s="3"/>
      <c r="AB9" s="3"/>
      <c r="AC9" s="3"/>
      <c r="AD9" s="3"/>
      <c r="AE9" s="3">
        <v>7</v>
      </c>
      <c r="AF9" s="3"/>
      <c r="AG9" s="3"/>
      <c r="AH9" s="3"/>
      <c r="AI9" s="3"/>
      <c r="AJ9" s="3"/>
      <c r="AK9" s="3" t="str">
        <f>N8</f>
        <v>1,2
5,6</v>
      </c>
      <c r="AL9" s="3"/>
      <c r="AM9" s="3"/>
      <c r="AN9" s="3"/>
      <c r="AO9" s="3"/>
      <c r="AP9" s="3"/>
      <c r="AQ9" s="3">
        <v>7</v>
      </c>
    </row>
    <row r="10" spans="1:43" ht="16.5" thickBot="1" x14ac:dyDescent="0.3">
      <c r="A10" s="3">
        <v>8</v>
      </c>
      <c r="B10" s="11">
        <v>8</v>
      </c>
      <c r="C10" s="12">
        <f t="shared" si="0"/>
        <v>1</v>
      </c>
      <c r="D10" s="13">
        <f t="shared" si="0"/>
        <v>2</v>
      </c>
      <c r="E10" s="14">
        <f t="shared" si="0"/>
        <v>3</v>
      </c>
      <c r="F10" s="15">
        <f t="shared" si="0"/>
        <v>4</v>
      </c>
      <c r="G10" s="12">
        <f t="shared" si="0"/>
        <v>5</v>
      </c>
      <c r="H10" s="13">
        <f t="shared" si="0"/>
        <v>6</v>
      </c>
      <c r="I10" s="14">
        <f t="shared" si="0"/>
        <v>7</v>
      </c>
      <c r="J10" s="16">
        <v>8</v>
      </c>
      <c r="K10" s="9" t="str">
        <f>E8 &amp; "," &amp; F8 &amp; CHAR(10) &amp; I8 &amp; "," &amp; J8</f>
        <v>1,2
5,6</v>
      </c>
      <c r="L10" s="5" t="str">
        <f>C10 &amp; "," &amp; E10 &amp; CHAR(10) &amp; G10 &amp; "," &amp; I10</f>
        <v>1,3
5,7</v>
      </c>
      <c r="M10" s="4" t="str">
        <f>C10 &amp; "," &amp; F10 &amp; CHAR(10) &amp; G10 &amp; "," &amp; J10</f>
        <v>1,4
5,8</v>
      </c>
      <c r="N10" s="75" t="str">
        <f t="shared" si="1"/>
        <v>3,4
7,8</v>
      </c>
      <c r="O10" s="76" t="str">
        <f t="shared" ref="O10:O14" si="2">D10 &amp; "," &amp; F10 &amp; CHAR(10) &amp; H10 &amp; "," &amp; J10</f>
        <v>2,4
6,8</v>
      </c>
      <c r="P10" s="81" t="str">
        <f>C10 &amp; "," &amp; F10 &amp; CHAR(10) &amp; G10 &amp; "," &amp; J10</f>
        <v>1,4
5,8</v>
      </c>
      <c r="W10" s="3">
        <v>8</v>
      </c>
      <c r="X10" s="3"/>
      <c r="Y10" s="3"/>
      <c r="Z10" s="3"/>
      <c r="AB10" s="3"/>
      <c r="AC10" s="3"/>
      <c r="AD10" s="3"/>
      <c r="AE10" s="3">
        <v>8</v>
      </c>
      <c r="AF10" s="3"/>
      <c r="AG10" s="3"/>
      <c r="AH10" s="3"/>
      <c r="AI10" s="3"/>
      <c r="AJ10" s="3" t="str">
        <f>AK9</f>
        <v>1,2
5,6</v>
      </c>
      <c r="AK10" s="3" t="str">
        <f>N9</f>
        <v>2,3
6,7</v>
      </c>
      <c r="AL10" s="3"/>
      <c r="AM10" s="3"/>
      <c r="AN10" s="3"/>
      <c r="AO10" s="3" t="str">
        <f>O9</f>
        <v>1,3
5,7</v>
      </c>
      <c r="AP10" s="27" t="s">
        <v>32</v>
      </c>
      <c r="AQ10" s="3">
        <v>8</v>
      </c>
    </row>
    <row r="11" spans="1:43" x14ac:dyDescent="0.25">
      <c r="A11" s="3">
        <v>9</v>
      </c>
      <c r="B11" s="3">
        <v>9</v>
      </c>
      <c r="C11" s="9">
        <f t="shared" si="0"/>
        <v>2</v>
      </c>
      <c r="D11" s="7">
        <f t="shared" si="0"/>
        <v>3</v>
      </c>
      <c r="E11" s="5">
        <f t="shared" si="0"/>
        <v>4</v>
      </c>
      <c r="F11" s="4">
        <f t="shared" si="0"/>
        <v>5</v>
      </c>
      <c r="G11" s="9">
        <f t="shared" si="0"/>
        <v>6</v>
      </c>
      <c r="H11" s="7">
        <f t="shared" si="0"/>
        <v>7</v>
      </c>
      <c r="I11" s="5">
        <f t="shared" si="0"/>
        <v>8</v>
      </c>
      <c r="J11" s="4">
        <v>9</v>
      </c>
      <c r="K11" s="9" t="str">
        <f t="shared" ref="K11:K18" si="3">C11 &amp; "," &amp; D11 &amp; CHAR(10) &amp; G11 &amp; "," &amp; H11</f>
        <v>2,3
6,7</v>
      </c>
      <c r="L11" s="5" t="str">
        <f t="shared" ref="L11:L15" si="4">C11 &amp; "," &amp; E11 &amp; CHAR(10) &amp; G11 &amp; "," &amp; I11</f>
        <v>2,4
6,8</v>
      </c>
      <c r="M11" s="4"/>
      <c r="N11" s="75"/>
      <c r="O11" s="76"/>
      <c r="P11" s="81"/>
      <c r="W11" s="3">
        <v>9</v>
      </c>
      <c r="X11" s="3"/>
      <c r="Y11" s="3"/>
      <c r="Z11" s="3"/>
      <c r="AB11" s="3"/>
      <c r="AC11" s="3"/>
      <c r="AD11" s="3"/>
      <c r="AE11" s="3">
        <v>9</v>
      </c>
      <c r="AF11" s="3"/>
      <c r="AH11" s="29">
        <f>W10</f>
        <v>8</v>
      </c>
      <c r="AI11" s="72" t="str">
        <f>AJ10</f>
        <v>1,2
5,6</v>
      </c>
      <c r="AJ11" s="72" t="str">
        <f>AK10</f>
        <v>2,3
6,7</v>
      </c>
      <c r="AK11" s="72" t="str">
        <f>N10</f>
        <v>3,4
7,8</v>
      </c>
      <c r="AL11" s="3"/>
      <c r="AM11" s="3"/>
      <c r="AN11" s="3" t="str">
        <f>AO10</f>
        <v>1,3
5,7</v>
      </c>
      <c r="AO11" s="3" t="str">
        <f>O10</f>
        <v>2,4
6,8</v>
      </c>
      <c r="AP11" s="27" t="s">
        <v>31</v>
      </c>
      <c r="AQ11" s="3">
        <v>9</v>
      </c>
    </row>
    <row r="12" spans="1:43" x14ac:dyDescent="0.25">
      <c r="A12" s="3">
        <v>10</v>
      </c>
      <c r="B12" s="3">
        <v>10</v>
      </c>
      <c r="C12" s="9">
        <f t="shared" si="0"/>
        <v>3</v>
      </c>
      <c r="D12" s="7">
        <f t="shared" si="0"/>
        <v>4</v>
      </c>
      <c r="E12" s="5">
        <f t="shared" si="0"/>
        <v>5</v>
      </c>
      <c r="F12" s="4">
        <f t="shared" si="0"/>
        <v>6</v>
      </c>
      <c r="G12" s="9">
        <f t="shared" si="0"/>
        <v>7</v>
      </c>
      <c r="H12" s="7">
        <f t="shared" si="0"/>
        <v>8</v>
      </c>
      <c r="I12" s="5">
        <f t="shared" si="0"/>
        <v>9</v>
      </c>
      <c r="J12" s="4">
        <v>10</v>
      </c>
      <c r="K12" s="9" t="str">
        <f t="shared" si="3"/>
        <v>3,4
7,8</v>
      </c>
      <c r="L12" s="5"/>
      <c r="M12" s="4"/>
      <c r="N12" s="75" t="str">
        <f t="shared" si="1"/>
        <v>5,6
9,10</v>
      </c>
      <c r="O12" s="76"/>
      <c r="P12" s="81"/>
      <c r="W12" s="3">
        <v>10</v>
      </c>
      <c r="X12" s="30" t="s">
        <v>86</v>
      </c>
      <c r="Y12" s="3"/>
      <c r="AE12" s="3">
        <v>10</v>
      </c>
      <c r="AF12" s="3"/>
      <c r="AI12" s="83"/>
      <c r="AJ12" s="83"/>
      <c r="AK12" s="83"/>
      <c r="AL12" s="3"/>
      <c r="AM12" s="3"/>
      <c r="AN12" s="3" t="str">
        <f>AN11</f>
        <v>1,3
5,7</v>
      </c>
      <c r="AO12" s="3" t="str">
        <f>AO11</f>
        <v>2,4
6,8</v>
      </c>
      <c r="AP12" s="27" t="s">
        <v>30</v>
      </c>
      <c r="AQ12" s="3">
        <v>10</v>
      </c>
    </row>
    <row r="13" spans="1:43" x14ac:dyDescent="0.25">
      <c r="A13" s="3">
        <v>11</v>
      </c>
      <c r="B13" s="3">
        <v>11</v>
      </c>
      <c r="C13" s="9">
        <f t="shared" si="0"/>
        <v>4</v>
      </c>
      <c r="D13" s="7">
        <f t="shared" si="0"/>
        <v>5</v>
      </c>
      <c r="E13" s="5">
        <f t="shared" si="0"/>
        <v>6</v>
      </c>
      <c r="F13" s="4">
        <f t="shared" si="0"/>
        <v>7</v>
      </c>
      <c r="G13" s="9">
        <f t="shared" si="0"/>
        <v>8</v>
      </c>
      <c r="H13" s="7">
        <f t="shared" si="0"/>
        <v>9</v>
      </c>
      <c r="I13" s="5">
        <f t="shared" si="0"/>
        <v>10</v>
      </c>
      <c r="J13" s="4">
        <v>11</v>
      </c>
      <c r="K13" s="9" t="s">
        <v>0</v>
      </c>
      <c r="L13" s="5"/>
      <c r="M13" s="4"/>
      <c r="N13" s="75" t="str">
        <f t="shared" si="1"/>
        <v>6,7
10,11</v>
      </c>
      <c r="O13" s="76" t="str">
        <f t="shared" si="2"/>
        <v>5,7
9,11</v>
      </c>
      <c r="P13" s="81"/>
      <c r="W13" s="3">
        <v>11</v>
      </c>
      <c r="X13" s="31" t="s">
        <v>85</v>
      </c>
      <c r="Y13" s="30" t="str">
        <f t="shared" ref="Y13:Y20" si="5">X12</f>
        <v>9(2367)+11(1256)</v>
      </c>
      <c r="Z13" s="53" t="s">
        <v>38</v>
      </c>
      <c r="AB13" s="54"/>
      <c r="AE13" s="3">
        <v>11</v>
      </c>
      <c r="AF13" s="3"/>
      <c r="AI13" s="83"/>
      <c r="AJ13" s="83"/>
      <c r="AK13" s="83"/>
      <c r="AL13" s="3"/>
      <c r="AM13" s="3"/>
      <c r="AN13" s="3" t="str">
        <f t="shared" ref="AN13" si="6">AN12</f>
        <v>1,3
5,7</v>
      </c>
      <c r="AO13" s="3" t="str">
        <f>AO12</f>
        <v>2,4
6,8</v>
      </c>
      <c r="AP13" s="3" t="s">
        <v>29</v>
      </c>
      <c r="AQ13" s="3">
        <v>11</v>
      </c>
    </row>
    <row r="14" spans="1:43" x14ac:dyDescent="0.25">
      <c r="A14" s="3">
        <v>12</v>
      </c>
      <c r="B14" s="3">
        <v>12</v>
      </c>
      <c r="C14" s="9">
        <f t="shared" si="0"/>
        <v>5</v>
      </c>
      <c r="D14" s="7">
        <f t="shared" si="0"/>
        <v>6</v>
      </c>
      <c r="E14" s="5">
        <f t="shared" si="0"/>
        <v>7</v>
      </c>
      <c r="F14" s="4">
        <f t="shared" si="0"/>
        <v>8</v>
      </c>
      <c r="G14" s="9">
        <f t="shared" si="0"/>
        <v>9</v>
      </c>
      <c r="H14" s="7">
        <f t="shared" si="0"/>
        <v>10</v>
      </c>
      <c r="I14" s="5">
        <f t="shared" si="0"/>
        <v>11</v>
      </c>
      <c r="J14" s="4">
        <v>12</v>
      </c>
      <c r="K14" s="9" t="str">
        <f t="shared" si="3"/>
        <v>5,6
9,10</v>
      </c>
      <c r="L14" s="5" t="str">
        <f t="shared" si="4"/>
        <v>5,7
9,11</v>
      </c>
      <c r="M14" s="4"/>
      <c r="N14" s="75" t="str">
        <f t="shared" si="1"/>
        <v>7,8
11,12</v>
      </c>
      <c r="O14" s="76" t="str">
        <f t="shared" si="2"/>
        <v>6,8
10,12</v>
      </c>
      <c r="P14" s="81"/>
      <c r="W14" s="3">
        <v>12</v>
      </c>
      <c r="X14" s="9" t="s">
        <v>87</v>
      </c>
      <c r="Y14" s="31" t="str">
        <f t="shared" si="5"/>
        <v>-10*(1357)</v>
      </c>
      <c r="Z14" s="49" t="s">
        <v>60</v>
      </c>
      <c r="AA14" s="55" t="str">
        <f t="shared" ref="AA14:AB21" si="7">Y13</f>
        <v>9(2367)+11(1256)</v>
      </c>
      <c r="AB14" s="55" t="str">
        <f t="shared" si="7"/>
        <v>10(3478)-11(2468)</v>
      </c>
      <c r="AE14" s="3">
        <v>12</v>
      </c>
      <c r="AF14" s="3"/>
      <c r="AG14" s="3"/>
      <c r="AH14" s="3"/>
      <c r="AI14" s="3"/>
      <c r="AJ14" s="3"/>
      <c r="AK14" s="3"/>
      <c r="AL14" s="3"/>
      <c r="AM14" s="83" t="str">
        <f>AN13</f>
        <v>1,3
5,7</v>
      </c>
      <c r="AN14" s="83" t="str">
        <f>AO13</f>
        <v>2,4
6,8</v>
      </c>
      <c r="AO14" s="83" t="str">
        <f>O13</f>
        <v>5,7
9,11</v>
      </c>
      <c r="AP14" s="27" t="s">
        <v>28</v>
      </c>
      <c r="AQ14" s="3">
        <v>12</v>
      </c>
    </row>
    <row r="15" spans="1:43" x14ac:dyDescent="0.25">
      <c r="A15" s="3">
        <v>13</v>
      </c>
      <c r="B15" s="3">
        <v>13</v>
      </c>
      <c r="C15" s="9">
        <f t="shared" si="0"/>
        <v>6</v>
      </c>
      <c r="D15" s="7">
        <f t="shared" si="0"/>
        <v>7</v>
      </c>
      <c r="E15" s="5">
        <f t="shared" si="0"/>
        <v>8</v>
      </c>
      <c r="F15" s="4">
        <f t="shared" si="0"/>
        <v>9</v>
      </c>
      <c r="G15" s="9">
        <f t="shared" si="0"/>
        <v>10</v>
      </c>
      <c r="H15" s="7">
        <f t="shared" si="0"/>
        <v>11</v>
      </c>
      <c r="I15" s="5">
        <f t="shared" si="0"/>
        <v>12</v>
      </c>
      <c r="J15" s="4">
        <v>13</v>
      </c>
      <c r="K15" s="9" t="str">
        <f t="shared" si="3"/>
        <v>6,7
10,11</v>
      </c>
      <c r="L15" s="5" t="str">
        <f t="shared" si="4"/>
        <v>6,8
10,12</v>
      </c>
      <c r="M15" s="4"/>
      <c r="N15" s="75"/>
      <c r="O15" s="76"/>
      <c r="P15" s="81"/>
      <c r="W15" s="3">
        <v>13</v>
      </c>
      <c r="X15" s="34" t="s">
        <v>88</v>
      </c>
      <c r="Y15" s="9" t="str">
        <f t="shared" si="5"/>
        <v>9(2468)+12(1256)</v>
      </c>
      <c r="Z15" s="45" t="s">
        <v>51</v>
      </c>
      <c r="AA15" s="55" t="str">
        <f t="shared" si="7"/>
        <v>-10*(1357)</v>
      </c>
      <c r="AB15" s="55" t="str">
        <f t="shared" si="7"/>
        <v>+12(2367)</v>
      </c>
      <c r="AC15" s="35" t="s">
        <v>106</v>
      </c>
      <c r="AD15" s="4" t="s">
        <v>66</v>
      </c>
      <c r="AE15" s="3">
        <v>13</v>
      </c>
      <c r="AF15" s="3"/>
      <c r="AG15" s="3"/>
      <c r="AH15" s="3"/>
      <c r="AI15" s="3"/>
      <c r="AJ15" s="3"/>
      <c r="AK15" s="3"/>
      <c r="AL15" s="92" t="str">
        <f t="shared" ref="AL15:AM15" si="8">AM14</f>
        <v>1,3
5,7</v>
      </c>
      <c r="AM15" s="92" t="str">
        <f t="shared" si="8"/>
        <v>2,4
6,8</v>
      </c>
      <c r="AN15" s="92" t="str">
        <f>AO14</f>
        <v>5,7
9,11</v>
      </c>
      <c r="AO15" s="92" t="str">
        <f>O14</f>
        <v>6,8
10,12</v>
      </c>
      <c r="AP15" s="27" t="s">
        <v>27</v>
      </c>
      <c r="AQ15" s="3">
        <v>13</v>
      </c>
    </row>
    <row r="16" spans="1:43" x14ac:dyDescent="0.25">
      <c r="A16" s="3">
        <v>14</v>
      </c>
      <c r="B16" s="3">
        <v>14</v>
      </c>
      <c r="C16" s="9">
        <f t="shared" si="0"/>
        <v>7</v>
      </c>
      <c r="D16" s="7">
        <f t="shared" si="0"/>
        <v>8</v>
      </c>
      <c r="E16" s="5">
        <f t="shared" si="0"/>
        <v>9</v>
      </c>
      <c r="F16" s="4">
        <f t="shared" si="0"/>
        <v>10</v>
      </c>
      <c r="G16" s="9">
        <f t="shared" si="0"/>
        <v>11</v>
      </c>
      <c r="H16" s="7">
        <f t="shared" si="0"/>
        <v>12</v>
      </c>
      <c r="I16" s="5">
        <f t="shared" si="0"/>
        <v>13</v>
      </c>
      <c r="J16" s="4">
        <v>14</v>
      </c>
      <c r="K16" s="9" t="str">
        <f t="shared" si="3"/>
        <v>7,8
11,12</v>
      </c>
      <c r="L16" s="5"/>
      <c r="M16" s="4"/>
      <c r="N16" s="75" t="str">
        <f>E16 &amp; "," &amp; F16 &amp; CHAR(10) &amp; I16 &amp; "," &amp; J16</f>
        <v>9,10
13,14</v>
      </c>
      <c r="O16" s="76"/>
      <c r="P16" s="81"/>
      <c r="W16" s="3">
        <v>14</v>
      </c>
      <c r="X16" s="4" t="s">
        <v>89</v>
      </c>
      <c r="Y16" s="34" t="str">
        <f t="shared" si="5"/>
        <v>-10(1458)</v>
      </c>
      <c r="Z16" s="46" t="s">
        <v>95</v>
      </c>
      <c r="AA16" s="55" t="str">
        <f t="shared" si="7"/>
        <v>9(2468)+12(1256)</v>
      </c>
      <c r="AB16" s="55" t="str">
        <f t="shared" si="7"/>
        <v>9(3478)-11(1458)</v>
      </c>
      <c r="AC16" s="35" t="s">
        <v>64</v>
      </c>
      <c r="AD16" s="35" t="s">
        <v>67</v>
      </c>
      <c r="AE16" s="3">
        <v>14</v>
      </c>
      <c r="AF16" s="3"/>
      <c r="AG16" s="3"/>
      <c r="AH16" s="3"/>
      <c r="AI16" s="3"/>
      <c r="AJ16" s="3"/>
      <c r="AK16" s="83"/>
      <c r="AL16" s="83"/>
      <c r="AM16" s="83"/>
      <c r="AO16" s="83"/>
      <c r="AP16" s="27" t="s">
        <v>26</v>
      </c>
      <c r="AQ16" s="3">
        <v>14</v>
      </c>
    </row>
    <row r="17" spans="1:43" x14ac:dyDescent="0.25">
      <c r="A17" s="3">
        <v>15</v>
      </c>
      <c r="B17" s="3">
        <v>15</v>
      </c>
      <c r="C17" s="9">
        <f t="shared" si="0"/>
        <v>8</v>
      </c>
      <c r="D17" s="7">
        <f t="shared" si="0"/>
        <v>9</v>
      </c>
      <c r="E17" s="5">
        <f t="shared" si="0"/>
        <v>10</v>
      </c>
      <c r="F17" s="4">
        <f t="shared" si="0"/>
        <v>11</v>
      </c>
      <c r="G17" s="9">
        <f t="shared" si="0"/>
        <v>12</v>
      </c>
      <c r="H17" s="7">
        <f t="shared" si="0"/>
        <v>13</v>
      </c>
      <c r="I17" s="5">
        <f t="shared" si="0"/>
        <v>14</v>
      </c>
      <c r="J17" s="4">
        <v>15</v>
      </c>
      <c r="K17" s="9" t="s">
        <v>0</v>
      </c>
      <c r="L17" s="5"/>
      <c r="M17" s="4"/>
      <c r="N17" s="75" t="str">
        <f>E17 &amp; "," &amp; F17 &amp; CHAR(10) &amp; I17 &amp; "," &amp; J17</f>
        <v>10,11
14,15</v>
      </c>
      <c r="O17" s="76"/>
      <c r="P17" s="81"/>
      <c r="W17" s="3">
        <v>15</v>
      </c>
      <c r="X17" s="38" t="s">
        <v>90</v>
      </c>
      <c r="Y17" s="4" t="str">
        <f t="shared" si="5"/>
        <v>9(3478)+12(1357)</v>
      </c>
      <c r="Z17" s="37" t="s">
        <v>50</v>
      </c>
      <c r="AA17" s="55" t="str">
        <f t="shared" si="7"/>
        <v>-10(1458)</v>
      </c>
      <c r="AB17" s="55" t="str">
        <f t="shared" si="7"/>
        <v>+12(1357)</v>
      </c>
      <c r="AC17" s="4" t="s">
        <v>105</v>
      </c>
      <c r="AD17" s="35" t="s">
        <v>67</v>
      </c>
      <c r="AE17" s="3">
        <v>15</v>
      </c>
      <c r="AF17" s="3"/>
      <c r="AG17" s="3"/>
      <c r="AH17" s="3"/>
      <c r="AI17" s="3"/>
      <c r="AJ17" s="3"/>
      <c r="AK17" s="83"/>
      <c r="AL17" s="83"/>
      <c r="AM17" s="83"/>
      <c r="AN17" s="83"/>
      <c r="AO17" s="83"/>
      <c r="AP17" s="3" t="s">
        <v>25</v>
      </c>
      <c r="AQ17" s="3">
        <v>15</v>
      </c>
    </row>
    <row r="18" spans="1:43" x14ac:dyDescent="0.25">
      <c r="A18" s="3">
        <v>16</v>
      </c>
      <c r="B18" s="3">
        <v>16</v>
      </c>
      <c r="C18" s="9">
        <f t="shared" si="0"/>
        <v>9</v>
      </c>
      <c r="D18" s="7">
        <f t="shared" si="0"/>
        <v>10</v>
      </c>
      <c r="E18" s="5">
        <f t="shared" si="0"/>
        <v>11</v>
      </c>
      <c r="F18" s="4">
        <f t="shared" si="0"/>
        <v>12</v>
      </c>
      <c r="G18" s="9">
        <f t="shared" si="0"/>
        <v>13</v>
      </c>
      <c r="H18" s="7">
        <f t="shared" si="0"/>
        <v>14</v>
      </c>
      <c r="I18" s="5">
        <f t="shared" si="0"/>
        <v>15</v>
      </c>
      <c r="J18" s="4">
        <v>16</v>
      </c>
      <c r="K18" s="9" t="str">
        <f t="shared" si="3"/>
        <v>9,10
13,14</v>
      </c>
      <c r="L18" s="5"/>
      <c r="M18" s="4"/>
      <c r="N18" s="75" t="str">
        <f>E18 &amp; "," &amp; F18 &amp; CHAR(10) &amp; I18 &amp; "," &amp; J18</f>
        <v>11,12
15,16</v>
      </c>
      <c r="O18" s="76"/>
      <c r="P18" s="81"/>
      <c r="W18" s="3">
        <v>16</v>
      </c>
      <c r="X18" s="32" t="s">
        <v>91</v>
      </c>
      <c r="Y18" s="4" t="str">
        <f t="shared" si="5"/>
        <v>-11(1458)</v>
      </c>
      <c r="Z18" s="43" t="s">
        <v>58</v>
      </c>
      <c r="AA18" s="55" t="str">
        <f t="shared" si="7"/>
        <v>9(3478)+12(1357)</v>
      </c>
      <c r="AB18" s="55" t="str">
        <f t="shared" si="7"/>
        <v>9(2468)-10(1458)</v>
      </c>
      <c r="AC18" s="4" t="s">
        <v>62</v>
      </c>
      <c r="AD18" s="4" t="s">
        <v>66</v>
      </c>
      <c r="AE18" s="3">
        <v>16</v>
      </c>
      <c r="AF18" s="3"/>
      <c r="AG18" s="3"/>
      <c r="AH18" s="3"/>
      <c r="AI18" s="3"/>
      <c r="AJ18" s="3"/>
      <c r="AK18" s="83"/>
      <c r="AL18" s="83"/>
      <c r="AM18" s="83"/>
      <c r="AN18" s="83"/>
      <c r="AO18" s="83"/>
      <c r="AP18" s="27" t="s">
        <v>24</v>
      </c>
      <c r="AQ18" s="3">
        <v>16</v>
      </c>
    </row>
    <row r="19" spans="1:43" x14ac:dyDescent="0.25">
      <c r="A19" s="3">
        <v>17</v>
      </c>
      <c r="B19" s="3" t="s">
        <v>10</v>
      </c>
      <c r="C19" s="9">
        <f>C18</f>
        <v>9</v>
      </c>
      <c r="D19" s="7">
        <f>D18</f>
        <v>10</v>
      </c>
      <c r="E19" s="5">
        <f>E18</f>
        <v>11</v>
      </c>
      <c r="F19" s="4">
        <f>F18</f>
        <v>12</v>
      </c>
      <c r="G19" s="9">
        <f>G18</f>
        <v>13</v>
      </c>
      <c r="H19" s="7">
        <f>H18</f>
        <v>14</v>
      </c>
      <c r="I19" s="5">
        <f>I18</f>
        <v>15</v>
      </c>
      <c r="J19" s="4">
        <f>J18</f>
        <v>16</v>
      </c>
      <c r="K19" s="9" t="str">
        <f>D19 &amp; "," &amp; E19 &amp; CHAR(10) &amp; H19 &amp; "," &amp; I19</f>
        <v>10,11
14,15</v>
      </c>
      <c r="L19" s="5"/>
      <c r="M19" s="4"/>
      <c r="N19" s="75"/>
      <c r="O19" s="76"/>
      <c r="P19" s="81"/>
      <c r="W19" s="3">
        <v>17</v>
      </c>
      <c r="X19" s="33" t="s">
        <v>92</v>
      </c>
      <c r="Y19" s="32" t="str">
        <f t="shared" si="5"/>
        <v>10(3478)+12(2367)</v>
      </c>
      <c r="Z19" s="39" t="s">
        <v>94</v>
      </c>
      <c r="AA19" s="55" t="str">
        <f t="shared" si="7"/>
        <v>-11(1458)</v>
      </c>
      <c r="AB19" s="55" t="str">
        <f t="shared" si="7"/>
        <v>+12(1256)</v>
      </c>
      <c r="AC19" s="9" t="s">
        <v>104</v>
      </c>
      <c r="AD19" s="4" t="s">
        <v>66</v>
      </c>
      <c r="AE19" s="3">
        <v>17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17</v>
      </c>
    </row>
    <row r="20" spans="1:43" x14ac:dyDescent="0.25">
      <c r="A20" s="3">
        <v>18</v>
      </c>
      <c r="B20" s="3" t="s">
        <v>10</v>
      </c>
      <c r="C20" s="9">
        <f>C19</f>
        <v>9</v>
      </c>
      <c r="D20" s="7">
        <f>D19</f>
        <v>10</v>
      </c>
      <c r="E20" s="5">
        <f>E19</f>
        <v>11</v>
      </c>
      <c r="F20" s="4">
        <f>F19</f>
        <v>12</v>
      </c>
      <c r="G20" s="9">
        <f>G19</f>
        <v>13</v>
      </c>
      <c r="H20" s="7">
        <f>H19</f>
        <v>14</v>
      </c>
      <c r="I20" s="5">
        <f>I19</f>
        <v>15</v>
      </c>
      <c r="J20" s="4">
        <f>J19</f>
        <v>16</v>
      </c>
      <c r="K20" s="9" t="str">
        <f>E20 &amp; "," &amp; F20 &amp; CHAR(10) &amp; I20 &amp; "," &amp; J20</f>
        <v>11,12
15,16</v>
      </c>
      <c r="L20" s="5"/>
      <c r="M20" s="4"/>
      <c r="N20" s="75"/>
      <c r="O20" s="76"/>
      <c r="P20" s="81"/>
      <c r="W20" s="3">
        <v>18</v>
      </c>
      <c r="X20" s="32"/>
      <c r="Y20" s="35" t="str">
        <f t="shared" si="5"/>
        <v>-11(2468)</v>
      </c>
      <c r="Z20" s="41" t="s">
        <v>57</v>
      </c>
      <c r="AA20" s="55" t="str">
        <f t="shared" si="7"/>
        <v>10(3478)+12(2367)</v>
      </c>
      <c r="AB20" s="55" t="str">
        <f t="shared" si="7"/>
        <v>9(2367)-10*(1357)</v>
      </c>
      <c r="AC20" s="9" t="s">
        <v>61</v>
      </c>
      <c r="AD20" s="9" t="s">
        <v>65</v>
      </c>
      <c r="AE20" s="3">
        <v>18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>
        <v>18</v>
      </c>
    </row>
    <row r="21" spans="1:43" ht="16.5" thickBot="1" x14ac:dyDescent="0.3">
      <c r="A21" s="3">
        <v>19</v>
      </c>
      <c r="B21" s="3"/>
      <c r="C21" s="9" t="s">
        <v>0</v>
      </c>
      <c r="D21" s="7"/>
      <c r="E21" s="5"/>
      <c r="F21" s="4"/>
      <c r="G21" s="9"/>
      <c r="H21" s="7"/>
      <c r="I21" s="5"/>
      <c r="J21" s="4"/>
      <c r="K21" s="9"/>
      <c r="L21" s="5"/>
      <c r="M21" s="4"/>
      <c r="N21" s="77"/>
      <c r="O21" s="78"/>
      <c r="P21" s="82"/>
      <c r="Q21" s="3"/>
      <c r="R21" s="3"/>
      <c r="S21" s="3"/>
      <c r="T21" s="3"/>
      <c r="U21" s="36"/>
      <c r="V21" s="3"/>
      <c r="W21" s="3">
        <v>19</v>
      </c>
      <c r="X21" s="32"/>
      <c r="Y21" s="4"/>
      <c r="Z21" s="56"/>
      <c r="AA21" s="57" t="str">
        <f t="shared" si="7"/>
        <v>-11(2468)</v>
      </c>
      <c r="AB21" s="57" t="str">
        <f t="shared" si="7"/>
        <v>+11(1256)</v>
      </c>
      <c r="AC21" s="31" t="s">
        <v>103</v>
      </c>
      <c r="AD21" s="9" t="s">
        <v>65</v>
      </c>
      <c r="AE21" s="3">
        <v>19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>
        <v>19</v>
      </c>
    </row>
    <row r="22" spans="1:43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6"/>
      <c r="V22" s="3"/>
      <c r="W22" s="3">
        <v>20</v>
      </c>
      <c r="X22" s="32"/>
      <c r="Y22" s="4"/>
      <c r="AC22" s="31" t="s">
        <v>63</v>
      </c>
      <c r="AD22" s="31" t="str">
        <f>AC21</f>
        <v>o_end 16</v>
      </c>
      <c r="AE22" s="3">
        <v>20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20</v>
      </c>
    </row>
    <row r="23" spans="1:4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0"/>
      <c r="Y23" s="3"/>
      <c r="AC23" s="9" t="s">
        <v>104</v>
      </c>
      <c r="AD23" s="31" t="s">
        <v>63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59"/>
      <c r="Y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59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59"/>
      <c r="Y26" s="3"/>
      <c r="Z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spans="1:43" x14ac:dyDescent="0.25">
      <c r="A27" s="3" t="s">
        <v>1</v>
      </c>
      <c r="B27" s="3" t="s">
        <v>2</v>
      </c>
      <c r="C27" s="9" t="s">
        <v>121</v>
      </c>
      <c r="D27" s="7" t="s">
        <v>122</v>
      </c>
      <c r="E27" s="5" t="s">
        <v>123</v>
      </c>
      <c r="F27" s="4" t="s">
        <v>124</v>
      </c>
      <c r="G27" s="9" t="s">
        <v>125</v>
      </c>
      <c r="H27" s="7" t="s">
        <v>126</v>
      </c>
      <c r="I27" s="5" t="s">
        <v>127</v>
      </c>
      <c r="J27" s="4" t="s">
        <v>128</v>
      </c>
      <c r="K27" s="9" t="s">
        <v>12</v>
      </c>
      <c r="L27" s="5"/>
      <c r="M27" s="4"/>
      <c r="N27" s="9" t="str">
        <f t="shared" ref="N27:P35" si="9">K27</f>
        <v>det22_c</v>
      </c>
      <c r="O27" s="5">
        <f t="shared" si="9"/>
        <v>0</v>
      </c>
      <c r="P27" s="4">
        <f t="shared" si="9"/>
        <v>0</v>
      </c>
      <c r="Q27" s="72" t="s">
        <v>120</v>
      </c>
      <c r="R27" s="30" t="s">
        <v>129</v>
      </c>
      <c r="S27" s="79" t="s">
        <v>131</v>
      </c>
      <c r="T27" s="72" t="s">
        <v>120</v>
      </c>
      <c r="U27" s="30" t="s">
        <v>129</v>
      </c>
      <c r="V27" s="79" t="s">
        <v>131</v>
      </c>
      <c r="W27" s="3" t="s">
        <v>1</v>
      </c>
      <c r="X27" s="3" t="s">
        <v>35</v>
      </c>
      <c r="Y27" s="3"/>
      <c r="Z27" s="3"/>
      <c r="AB27" s="3" t="s">
        <v>80</v>
      </c>
      <c r="AC27" s="3" t="s">
        <v>68</v>
      </c>
      <c r="AD27" s="3" t="s">
        <v>69</v>
      </c>
      <c r="AE27" s="3" t="s">
        <v>1</v>
      </c>
      <c r="AF27" s="3" t="s">
        <v>49</v>
      </c>
      <c r="AG27" s="3" t="s">
        <v>133</v>
      </c>
      <c r="AH27" s="3" t="s">
        <v>134</v>
      </c>
      <c r="AI27" s="3" t="s">
        <v>132</v>
      </c>
      <c r="AJ27" s="3" t="s">
        <v>136</v>
      </c>
      <c r="AK27" s="3" t="s">
        <v>14</v>
      </c>
      <c r="AL27" s="3" t="s">
        <v>18</v>
      </c>
      <c r="AM27" s="3" t="s">
        <v>19</v>
      </c>
      <c r="AN27" s="3" t="s">
        <v>20</v>
      </c>
      <c r="AO27" s="3" t="s">
        <v>21</v>
      </c>
      <c r="AP27" s="3" t="s">
        <v>137</v>
      </c>
      <c r="AQ27" s="3" t="s">
        <v>1</v>
      </c>
    </row>
    <row r="28" spans="1:43" x14ac:dyDescent="0.25">
      <c r="A28" s="3">
        <v>0</v>
      </c>
      <c r="B28" s="3"/>
      <c r="C28" s="9"/>
      <c r="D28" s="7"/>
      <c r="E28" s="5"/>
      <c r="F28" s="4"/>
      <c r="G28" s="9"/>
      <c r="H28" s="7"/>
      <c r="I28" s="5"/>
      <c r="J28" s="4"/>
      <c r="K28" s="9"/>
      <c r="L28" s="5"/>
      <c r="M28" s="4"/>
      <c r="N28" s="9">
        <f t="shared" si="9"/>
        <v>0</v>
      </c>
      <c r="O28" s="5">
        <f t="shared" si="9"/>
        <v>0</v>
      </c>
      <c r="P28" s="4">
        <f t="shared" si="9"/>
        <v>0</v>
      </c>
      <c r="Q28" s="72"/>
      <c r="R28" s="30"/>
      <c r="S28" s="79"/>
      <c r="T28" s="72"/>
      <c r="U28" s="30"/>
      <c r="V28" s="79"/>
      <c r="W28" s="3">
        <v>0</v>
      </c>
      <c r="X28" s="3"/>
      <c r="Y28" s="3"/>
      <c r="Z28" s="3"/>
      <c r="AB28" s="3"/>
      <c r="AC28" s="3"/>
      <c r="AD28" s="3"/>
      <c r="AE28" s="3">
        <v>0</v>
      </c>
      <c r="AF28" s="3"/>
      <c r="AG28" s="3" t="s">
        <v>75</v>
      </c>
      <c r="AH28" s="3" t="s">
        <v>74</v>
      </c>
      <c r="AI28" s="3" t="s">
        <v>138</v>
      </c>
      <c r="AJ28" s="3" t="s">
        <v>139</v>
      </c>
      <c r="AK28" s="3" t="s">
        <v>140</v>
      </c>
      <c r="AL28" s="3" t="s">
        <v>73</v>
      </c>
      <c r="AM28" s="3" t="s">
        <v>72</v>
      </c>
      <c r="AN28" s="3" t="s">
        <v>141</v>
      </c>
      <c r="AO28" s="3" t="s">
        <v>142</v>
      </c>
      <c r="AP28" s="3"/>
      <c r="AQ28" s="3">
        <v>0</v>
      </c>
    </row>
    <row r="29" spans="1:43" x14ac:dyDescent="0.25">
      <c r="A29" s="3">
        <v>1</v>
      </c>
      <c r="B29" s="3">
        <v>1</v>
      </c>
      <c r="C29" s="9" t="s">
        <v>10</v>
      </c>
      <c r="D29" s="7" t="s">
        <v>10</v>
      </c>
      <c r="E29" s="5" t="s">
        <v>10</v>
      </c>
      <c r="F29" s="4" t="s">
        <v>10</v>
      </c>
      <c r="G29" s="9" t="s">
        <v>10</v>
      </c>
      <c r="H29" s="7" t="s">
        <v>10</v>
      </c>
      <c r="I29" s="5" t="s">
        <v>10</v>
      </c>
      <c r="J29" s="4">
        <v>507</v>
      </c>
      <c r="K29" s="9"/>
      <c r="L29" s="5"/>
      <c r="M29" s="4"/>
      <c r="N29" s="9">
        <f t="shared" si="9"/>
        <v>0</v>
      </c>
      <c r="O29" s="5">
        <f t="shared" si="9"/>
        <v>0</v>
      </c>
      <c r="P29" s="4">
        <f t="shared" si="9"/>
        <v>0</v>
      </c>
      <c r="Q29" s="72"/>
      <c r="R29" s="30"/>
      <c r="S29" s="79"/>
      <c r="T29" s="72"/>
      <c r="U29" s="30"/>
      <c r="V29" s="79"/>
      <c r="W29" s="3">
        <v>1</v>
      </c>
      <c r="X29" s="3"/>
      <c r="Y29" s="3"/>
      <c r="Z29" s="3"/>
      <c r="AB29" s="3"/>
      <c r="AC29" s="3"/>
      <c r="AD29" s="3"/>
      <c r="AE29" s="3">
        <v>1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>
        <v>1</v>
      </c>
    </row>
    <row r="30" spans="1:43" ht="16.5" thickBot="1" x14ac:dyDescent="0.3">
      <c r="A30" s="3">
        <v>2</v>
      </c>
      <c r="B30" s="3">
        <v>2</v>
      </c>
      <c r="C30" s="9" t="str">
        <f t="shared" ref="C30:I44" si="10">D29</f>
        <v>X</v>
      </c>
      <c r="D30" s="7" t="str">
        <f t="shared" si="10"/>
        <v>X</v>
      </c>
      <c r="E30" s="5" t="str">
        <f t="shared" si="10"/>
        <v>X</v>
      </c>
      <c r="F30" s="4" t="str">
        <f t="shared" si="10"/>
        <v>X</v>
      </c>
      <c r="G30" s="9" t="str">
        <f t="shared" si="10"/>
        <v>X</v>
      </c>
      <c r="H30" s="7" t="str">
        <f t="shared" si="10"/>
        <v>X</v>
      </c>
      <c r="I30" s="5">
        <f>J29</f>
        <v>507</v>
      </c>
      <c r="J30" s="4">
        <v>926</v>
      </c>
      <c r="K30" s="9"/>
      <c r="L30" s="5"/>
      <c r="M30" s="4"/>
      <c r="N30" s="9">
        <f t="shared" si="9"/>
        <v>0</v>
      </c>
      <c r="O30" s="5">
        <f t="shared" si="9"/>
        <v>0</v>
      </c>
      <c r="P30" s="4">
        <f t="shared" si="9"/>
        <v>0</v>
      </c>
      <c r="Q30" s="72"/>
      <c r="R30" s="30"/>
      <c r="S30" s="79"/>
      <c r="T30" s="72"/>
      <c r="U30" s="30"/>
      <c r="V30" s="79"/>
      <c r="W30" s="3">
        <v>2</v>
      </c>
      <c r="X30" s="3"/>
      <c r="Y30" s="3"/>
      <c r="Z30" s="3"/>
      <c r="AB30" s="3"/>
      <c r="AC30" s="3"/>
      <c r="AD30" s="3"/>
      <c r="AE30" s="3">
        <v>2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2</v>
      </c>
    </row>
    <row r="31" spans="1:43" x14ac:dyDescent="0.25">
      <c r="A31" s="3">
        <v>3</v>
      </c>
      <c r="B31" s="3">
        <v>3</v>
      </c>
      <c r="C31" s="9" t="str">
        <f t="shared" si="10"/>
        <v>X</v>
      </c>
      <c r="D31" s="7" t="str">
        <f t="shared" si="10"/>
        <v>X</v>
      </c>
      <c r="E31" s="5" t="str">
        <f t="shared" si="10"/>
        <v>X</v>
      </c>
      <c r="F31" s="4" t="str">
        <f t="shared" si="10"/>
        <v>X</v>
      </c>
      <c r="G31" s="9" t="str">
        <f t="shared" si="10"/>
        <v>X</v>
      </c>
      <c r="H31" s="7">
        <f t="shared" si="10"/>
        <v>507</v>
      </c>
      <c r="I31" s="5">
        <f t="shared" si="10"/>
        <v>926</v>
      </c>
      <c r="J31" s="4">
        <v>441</v>
      </c>
      <c r="K31" s="9"/>
      <c r="L31" s="5"/>
      <c r="M31" s="4"/>
      <c r="N31" s="9">
        <f t="shared" si="9"/>
        <v>0</v>
      </c>
      <c r="O31" s="5">
        <f t="shared" si="9"/>
        <v>0</v>
      </c>
      <c r="P31" s="4">
        <f t="shared" si="9"/>
        <v>0</v>
      </c>
      <c r="Q31" s="73"/>
      <c r="R31" s="74"/>
      <c r="S31" s="80"/>
      <c r="T31" s="73"/>
      <c r="U31" s="74"/>
      <c r="V31" s="80"/>
      <c r="W31" s="3">
        <v>3</v>
      </c>
      <c r="X31" s="3"/>
      <c r="Y31" s="3"/>
      <c r="Z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>
        <v>3</v>
      </c>
    </row>
    <row r="32" spans="1:43" x14ac:dyDescent="0.25">
      <c r="A32" s="3">
        <v>4</v>
      </c>
      <c r="B32" s="3">
        <v>4</v>
      </c>
      <c r="C32" s="9" t="str">
        <f t="shared" si="10"/>
        <v>X</v>
      </c>
      <c r="D32" s="7" t="str">
        <f t="shared" si="10"/>
        <v>X</v>
      </c>
      <c r="E32" s="5" t="str">
        <f t="shared" si="10"/>
        <v>X</v>
      </c>
      <c r="F32" s="4" t="str">
        <f t="shared" si="10"/>
        <v>X</v>
      </c>
      <c r="G32" s="9">
        <f t="shared" si="10"/>
        <v>507</v>
      </c>
      <c r="H32" s="7">
        <f t="shared" si="10"/>
        <v>926</v>
      </c>
      <c r="I32" s="5">
        <f t="shared" si="10"/>
        <v>441</v>
      </c>
      <c r="J32" s="4">
        <v>-785</v>
      </c>
      <c r="K32" s="9"/>
      <c r="L32" s="5"/>
      <c r="M32" s="4"/>
      <c r="N32" s="9">
        <f t="shared" si="9"/>
        <v>0</v>
      </c>
      <c r="O32" s="5">
        <f t="shared" si="9"/>
        <v>0</v>
      </c>
      <c r="P32" s="4">
        <f t="shared" si="9"/>
        <v>0</v>
      </c>
      <c r="Q32" s="75"/>
      <c r="R32" s="76"/>
      <c r="S32" s="81"/>
      <c r="T32" s="75"/>
      <c r="U32" s="76"/>
      <c r="V32" s="81"/>
      <c r="W32" s="3">
        <v>4</v>
      </c>
      <c r="X32" s="3"/>
      <c r="Y32" s="3"/>
      <c r="Z32" s="3"/>
      <c r="AB32" s="3"/>
      <c r="AC32" s="3"/>
      <c r="AD32" s="3"/>
      <c r="AE32" s="3">
        <v>4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>
        <v>4</v>
      </c>
    </row>
    <row r="33" spans="1:43" x14ac:dyDescent="0.25">
      <c r="A33" s="3">
        <v>5</v>
      </c>
      <c r="B33" s="3">
        <v>5</v>
      </c>
      <c r="C33" s="9" t="str">
        <f t="shared" si="10"/>
        <v>X</v>
      </c>
      <c r="D33" s="7" t="str">
        <f t="shared" si="10"/>
        <v>X</v>
      </c>
      <c r="E33" s="5" t="str">
        <f t="shared" si="10"/>
        <v>X</v>
      </c>
      <c r="F33" s="4">
        <f t="shared" si="10"/>
        <v>507</v>
      </c>
      <c r="G33" s="9">
        <f t="shared" si="10"/>
        <v>926</v>
      </c>
      <c r="H33" s="7">
        <f t="shared" si="10"/>
        <v>441</v>
      </c>
      <c r="I33" s="5">
        <f t="shared" si="10"/>
        <v>-785</v>
      </c>
      <c r="J33" s="4">
        <v>703</v>
      </c>
      <c r="K33" s="9"/>
      <c r="L33" s="5"/>
      <c r="M33" s="4"/>
      <c r="N33" s="9">
        <f t="shared" si="9"/>
        <v>0</v>
      </c>
      <c r="O33" s="5">
        <f t="shared" si="9"/>
        <v>0</v>
      </c>
      <c r="P33" s="4">
        <f t="shared" si="9"/>
        <v>0</v>
      </c>
      <c r="Q33" s="75"/>
      <c r="R33" s="76"/>
      <c r="S33" s="81"/>
      <c r="T33" s="75"/>
      <c r="U33" s="76"/>
      <c r="V33" s="81"/>
      <c r="W33" s="3">
        <v>5</v>
      </c>
      <c r="X33" s="3"/>
      <c r="Y33" s="3"/>
      <c r="Z33" s="3"/>
      <c r="AB33" s="3"/>
      <c r="AC33" s="3"/>
      <c r="AD33" s="3"/>
      <c r="AE33" s="3">
        <v>5</v>
      </c>
      <c r="AF33" s="3"/>
      <c r="AG33" s="3"/>
      <c r="AI33" s="3"/>
      <c r="AJ33" s="3"/>
      <c r="AK33" s="3"/>
      <c r="AL33" s="3"/>
      <c r="AM33" s="3"/>
      <c r="AN33" s="3"/>
      <c r="AO33" s="3"/>
      <c r="AP33" s="3"/>
      <c r="AQ33" s="3">
        <v>5</v>
      </c>
    </row>
    <row r="34" spans="1:43" x14ac:dyDescent="0.25">
      <c r="A34" s="3">
        <v>6</v>
      </c>
      <c r="B34" s="3">
        <v>6</v>
      </c>
      <c r="C34" s="9" t="str">
        <f t="shared" si="10"/>
        <v>X</v>
      </c>
      <c r="D34" s="7" t="str">
        <f t="shared" si="10"/>
        <v>X</v>
      </c>
      <c r="E34" s="5">
        <f t="shared" si="10"/>
        <v>507</v>
      </c>
      <c r="F34" s="4">
        <f t="shared" si="10"/>
        <v>926</v>
      </c>
      <c r="G34" s="9">
        <f t="shared" si="10"/>
        <v>441</v>
      </c>
      <c r="H34" s="7">
        <f t="shared" si="10"/>
        <v>-785</v>
      </c>
      <c r="I34" s="5">
        <f t="shared" si="10"/>
        <v>703</v>
      </c>
      <c r="J34" s="4">
        <v>473</v>
      </c>
      <c r="K34" s="9"/>
      <c r="L34" s="5"/>
      <c r="M34" s="4"/>
      <c r="N34" s="9">
        <f t="shared" si="9"/>
        <v>0</v>
      </c>
      <c r="O34" s="5">
        <f t="shared" si="9"/>
        <v>0</v>
      </c>
      <c r="P34" s="4">
        <f t="shared" si="9"/>
        <v>0</v>
      </c>
      <c r="Q34" s="75" t="str">
        <f>E34 &amp; "," &amp; F34 &amp; CHAR(10) &amp; I34 &amp; "," &amp; J34</f>
        <v>507,926
703,473</v>
      </c>
      <c r="R34" s="76"/>
      <c r="S34" s="81"/>
      <c r="T34" s="75">
        <f>D56</f>
        <v>-411167</v>
      </c>
      <c r="U34" s="76"/>
      <c r="V34" s="81"/>
      <c r="W34" s="3">
        <v>6</v>
      </c>
      <c r="X34" s="3"/>
      <c r="Y34" s="3"/>
      <c r="Z34" s="3"/>
      <c r="AB34" s="3"/>
      <c r="AC34" s="3"/>
      <c r="AD34" s="3"/>
      <c r="AE34" s="3">
        <v>6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>
        <v>6</v>
      </c>
    </row>
    <row r="35" spans="1:43" ht="16.5" thickBot="1" x14ac:dyDescent="0.3">
      <c r="A35" s="3">
        <v>7</v>
      </c>
      <c r="B35" s="3">
        <v>7</v>
      </c>
      <c r="C35" s="9" t="str">
        <f t="shared" si="10"/>
        <v>X</v>
      </c>
      <c r="D35" s="7">
        <f t="shared" si="10"/>
        <v>507</v>
      </c>
      <c r="E35" s="5">
        <f t="shared" si="10"/>
        <v>926</v>
      </c>
      <c r="F35" s="4">
        <f t="shared" si="10"/>
        <v>441</v>
      </c>
      <c r="G35" s="9">
        <f t="shared" si="10"/>
        <v>-785</v>
      </c>
      <c r="H35" s="7">
        <f t="shared" si="10"/>
        <v>703</v>
      </c>
      <c r="I35" s="5">
        <f t="shared" si="10"/>
        <v>473</v>
      </c>
      <c r="J35" s="4">
        <v>-287</v>
      </c>
      <c r="K35" s="9"/>
      <c r="L35" s="5"/>
      <c r="M35" s="4"/>
      <c r="N35" s="9">
        <f t="shared" si="9"/>
        <v>0</v>
      </c>
      <c r="O35" s="5">
        <f t="shared" si="9"/>
        <v>0</v>
      </c>
      <c r="P35" s="4">
        <f t="shared" si="9"/>
        <v>0</v>
      </c>
      <c r="Q35" s="75" t="str">
        <f t="shared" ref="Q35:Q44" si="11">E35 &amp; "," &amp; F35 &amp; CHAR(10) &amp; I35 &amp; "," &amp; J35</f>
        <v>926,441
473,-287</v>
      </c>
      <c r="R35" s="76" t="str">
        <f>D35 &amp; "," &amp; F35 &amp; CHAR(10) &amp; H35 &amp; "," &amp; J35</f>
        <v>507,441
703,-287</v>
      </c>
      <c r="S35" s="81"/>
      <c r="T35" s="75">
        <f>E56</f>
        <v>-474355</v>
      </c>
      <c r="U35" s="76">
        <f>N56</f>
        <v>-455532</v>
      </c>
      <c r="V35" s="81"/>
      <c r="W35" s="3">
        <v>7</v>
      </c>
      <c r="X35" s="3"/>
      <c r="Y35" s="3"/>
      <c r="Z35" s="3"/>
      <c r="AB35" s="3"/>
      <c r="AC35" s="3"/>
      <c r="AD35" s="3"/>
      <c r="AE35" s="3">
        <v>7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>
        <v>7</v>
      </c>
    </row>
    <row r="36" spans="1:43" ht="16.5" thickBot="1" x14ac:dyDescent="0.3">
      <c r="A36" s="3">
        <v>8</v>
      </c>
      <c r="B36" s="11">
        <v>8</v>
      </c>
      <c r="C36" s="12">
        <f t="shared" si="10"/>
        <v>507</v>
      </c>
      <c r="D36" s="13">
        <f t="shared" si="10"/>
        <v>926</v>
      </c>
      <c r="E36" s="14">
        <f t="shared" si="10"/>
        <v>441</v>
      </c>
      <c r="F36" s="15">
        <f t="shared" si="10"/>
        <v>-785</v>
      </c>
      <c r="G36" s="12">
        <f t="shared" si="10"/>
        <v>703</v>
      </c>
      <c r="H36" s="13">
        <f t="shared" si="10"/>
        <v>473</v>
      </c>
      <c r="I36" s="14">
        <f t="shared" si="10"/>
        <v>-287</v>
      </c>
      <c r="J36" s="16">
        <v>913</v>
      </c>
      <c r="K36" s="9" t="str">
        <f>C36 &amp; "," &amp; D36 &amp; CHAR(10) &amp; G36 &amp; "," &amp; H36</f>
        <v>507,926
703,473</v>
      </c>
      <c r="L36" s="5" t="str">
        <f>C36 &amp; "," &amp; E36 &amp; CHAR(10) &amp; G36 &amp; "," &amp; I36</f>
        <v>507,441
703,-287</v>
      </c>
      <c r="M36" s="4" t="str">
        <f>C36 &amp; "," &amp; F36 &amp; CHAR(10) &amp; G36 &amp; "," &amp; J36</f>
        <v>507,-785
703,913</v>
      </c>
      <c r="N36" s="9">
        <f>D56</f>
        <v>-411167</v>
      </c>
      <c r="O36" s="5">
        <f>N56</f>
        <v>-455532</v>
      </c>
      <c r="P36" s="4">
        <f>T56</f>
        <v>1014745.9999999999</v>
      </c>
      <c r="Q36" s="75" t="str">
        <f t="shared" si="11"/>
        <v>441,-785
-287,913</v>
      </c>
      <c r="R36" s="76" t="str">
        <f t="shared" ref="R36:R40" si="12">D36 &amp; "," &amp; F36 &amp; CHAR(10) &amp; H36 &amp; "," &amp; J36</f>
        <v>926,-785
473,913</v>
      </c>
      <c r="S36" s="81" t="str">
        <f>C36 &amp; "," &amp; F36 &amp; CHAR(10) &amp; G36 &amp; "," &amp; J36</f>
        <v>507,-785
703,913</v>
      </c>
      <c r="T36" s="75">
        <f>F56</f>
        <v>177338</v>
      </c>
      <c r="U36" s="76">
        <f>O56</f>
        <v>1216743</v>
      </c>
      <c r="V36" s="81">
        <f>T56</f>
        <v>1014745.9999999999</v>
      </c>
      <c r="W36" s="3">
        <v>8</v>
      </c>
      <c r="X36" s="3"/>
      <c r="Y36" s="3"/>
      <c r="Z36" s="3"/>
      <c r="AB36" s="3"/>
      <c r="AC36" s="3"/>
      <c r="AD36" s="3"/>
      <c r="AE36" s="3">
        <v>8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27" t="s">
        <v>32</v>
      </c>
      <c r="AQ36" s="3">
        <v>8</v>
      </c>
    </row>
    <row r="37" spans="1:43" x14ac:dyDescent="0.25">
      <c r="A37" s="3">
        <v>9</v>
      </c>
      <c r="B37" s="3">
        <v>9</v>
      </c>
      <c r="C37" s="9">
        <f t="shared" si="10"/>
        <v>926</v>
      </c>
      <c r="D37" s="7">
        <f t="shared" si="10"/>
        <v>441</v>
      </c>
      <c r="E37" s="5">
        <f t="shared" si="10"/>
        <v>-785</v>
      </c>
      <c r="F37" s="4">
        <f t="shared" si="10"/>
        <v>703</v>
      </c>
      <c r="G37" s="9">
        <f t="shared" si="10"/>
        <v>473</v>
      </c>
      <c r="H37" s="7">
        <f t="shared" si="10"/>
        <v>-287</v>
      </c>
      <c r="I37" s="5">
        <f t="shared" si="10"/>
        <v>913</v>
      </c>
      <c r="J37" s="4">
        <v>563</v>
      </c>
      <c r="K37" s="9" t="str">
        <f t="shared" ref="K37:K46" si="13">C37 &amp; "," &amp; D37 &amp; CHAR(10) &amp; G37 &amp; "," &amp; H37</f>
        <v>926,441
473,-287</v>
      </c>
      <c r="L37" s="5" t="str">
        <f t="shared" ref="L37" si="14">C37 &amp; "," &amp; E37 &amp; CHAR(10) &amp; G37 &amp; "," &amp; I37</f>
        <v>926,-785
473,913</v>
      </c>
      <c r="M37" s="4"/>
      <c r="N37" s="9">
        <f>E56</f>
        <v>-474355</v>
      </c>
      <c r="O37" s="5">
        <f>O56</f>
        <v>1216743</v>
      </c>
      <c r="P37" s="4">
        <f t="shared" ref="P37:P46" si="15">M37</f>
        <v>0</v>
      </c>
      <c r="Q37" s="75"/>
      <c r="R37" s="76"/>
      <c r="S37" s="81"/>
      <c r="T37" s="75"/>
      <c r="U37" s="76"/>
      <c r="V37" s="81"/>
      <c r="W37" s="3">
        <v>9</v>
      </c>
      <c r="X37" s="3"/>
      <c r="Y37" s="3"/>
      <c r="Z37" s="3"/>
      <c r="AB37" s="3"/>
      <c r="AC37" s="3"/>
      <c r="AD37" s="3"/>
      <c r="AE37" s="3">
        <v>9</v>
      </c>
      <c r="AF37" s="3"/>
      <c r="AH37" s="29">
        <f>W36</f>
        <v>8</v>
      </c>
      <c r="AI37" s="3"/>
      <c r="AJ37" s="3"/>
      <c r="AK37" s="3">
        <f>U36</f>
        <v>1216743</v>
      </c>
      <c r="AL37" s="3"/>
      <c r="AM37" s="3"/>
      <c r="AN37" s="3"/>
      <c r="AO37" s="3">
        <f>V36</f>
        <v>1014745.9999999999</v>
      </c>
      <c r="AP37" s="27" t="s">
        <v>31</v>
      </c>
      <c r="AQ37" s="3">
        <v>9</v>
      </c>
    </row>
    <row r="38" spans="1:43" x14ac:dyDescent="0.25">
      <c r="A38" s="3">
        <v>10</v>
      </c>
      <c r="B38" s="3">
        <v>10</v>
      </c>
      <c r="C38" s="9">
        <f t="shared" si="10"/>
        <v>441</v>
      </c>
      <c r="D38" s="7">
        <f t="shared" si="10"/>
        <v>-785</v>
      </c>
      <c r="E38" s="5">
        <f t="shared" si="10"/>
        <v>703</v>
      </c>
      <c r="F38" s="4">
        <f t="shared" si="10"/>
        <v>473</v>
      </c>
      <c r="G38" s="9">
        <f t="shared" si="10"/>
        <v>-287</v>
      </c>
      <c r="H38" s="7">
        <f t="shared" si="10"/>
        <v>913</v>
      </c>
      <c r="I38" s="5">
        <f t="shared" si="10"/>
        <v>563</v>
      </c>
      <c r="J38" s="4">
        <v>913</v>
      </c>
      <c r="K38" s="9" t="str">
        <f t="shared" si="13"/>
        <v>441,-785
-287,913</v>
      </c>
      <c r="L38" s="5"/>
      <c r="M38" s="4"/>
      <c r="N38" s="9">
        <f>F56</f>
        <v>177338</v>
      </c>
      <c r="O38" s="5">
        <f>L38</f>
        <v>0</v>
      </c>
      <c r="P38" s="4">
        <f t="shared" si="15"/>
        <v>0</v>
      </c>
      <c r="Q38" s="75" t="str">
        <f t="shared" si="11"/>
        <v>703,473
563,913</v>
      </c>
      <c r="R38" s="76"/>
      <c r="S38" s="81"/>
      <c r="T38" s="75">
        <f>G56</f>
        <v>375540.00000000006</v>
      </c>
      <c r="U38" s="76"/>
      <c r="V38" s="81"/>
      <c r="W38" s="3">
        <v>10</v>
      </c>
      <c r="X38" s="30" t="e">
        <f>Q36*U37+Q38*U36</f>
        <v>#VALUE!</v>
      </c>
      <c r="Y38" s="3"/>
      <c r="AE38" s="3">
        <v>10</v>
      </c>
      <c r="AF38" s="3"/>
      <c r="AI38" s="3">
        <f>AJ37</f>
        <v>0</v>
      </c>
      <c r="AJ38" s="3">
        <f>AK37</f>
        <v>1216743</v>
      </c>
      <c r="AK38" s="3">
        <f>U37</f>
        <v>0</v>
      </c>
      <c r="AL38" s="3"/>
      <c r="AM38" s="3">
        <f>AN37</f>
        <v>0</v>
      </c>
      <c r="AN38" s="3">
        <f>AO37</f>
        <v>1014745.9999999999</v>
      </c>
      <c r="AO38" s="3">
        <f>V37</f>
        <v>0</v>
      </c>
      <c r="AP38" s="27" t="s">
        <v>30</v>
      </c>
      <c r="AQ38" s="3">
        <v>10</v>
      </c>
    </row>
    <row r="39" spans="1:43" x14ac:dyDescent="0.25">
      <c r="A39" s="3">
        <v>11</v>
      </c>
      <c r="B39" s="3">
        <v>11</v>
      </c>
      <c r="C39" s="9">
        <f t="shared" si="10"/>
        <v>-785</v>
      </c>
      <c r="D39" s="7">
        <f t="shared" si="10"/>
        <v>703</v>
      </c>
      <c r="E39" s="5">
        <f t="shared" si="10"/>
        <v>473</v>
      </c>
      <c r="F39" s="4">
        <f t="shared" si="10"/>
        <v>-287</v>
      </c>
      <c r="G39" s="9">
        <f t="shared" si="10"/>
        <v>913</v>
      </c>
      <c r="H39" s="7">
        <f t="shared" si="10"/>
        <v>563</v>
      </c>
      <c r="I39" s="5">
        <f t="shared" si="10"/>
        <v>913</v>
      </c>
      <c r="J39" s="4">
        <v>-156</v>
      </c>
      <c r="K39" s="9" t="s">
        <v>0</v>
      </c>
      <c r="L39" s="5"/>
      <c r="M39" s="4"/>
      <c r="N39" s="9" t="s">
        <v>0</v>
      </c>
      <c r="O39" s="5">
        <f>L39</f>
        <v>0</v>
      </c>
      <c r="P39" s="4">
        <f t="shared" si="15"/>
        <v>0</v>
      </c>
      <c r="Q39" s="75" t="str">
        <f t="shared" si="11"/>
        <v>473,-287
913,-156</v>
      </c>
      <c r="R39" s="76" t="str">
        <f t="shared" si="12"/>
        <v>703,-287
563,-156</v>
      </c>
      <c r="S39" s="81"/>
      <c r="T39" s="75">
        <f>H56</f>
        <v>188243</v>
      </c>
      <c r="U39" s="76">
        <f>N57</f>
        <v>51912.999999999985</v>
      </c>
      <c r="V39" s="81"/>
      <c r="W39" s="3">
        <v>11</v>
      </c>
      <c r="X39" s="31" t="e">
        <f>X38-Q38*V36</f>
        <v>#VALUE!</v>
      </c>
      <c r="Y39" s="30" t="e">
        <f t="shared" ref="Y39:Y46" si="16">X38</f>
        <v>#VALUE!</v>
      </c>
      <c r="Z39" s="32" t="e">
        <f>Q38*U38-Q39*V37</f>
        <v>#VALUE!</v>
      </c>
      <c r="AB39" s="54"/>
      <c r="AE39" s="3">
        <v>11</v>
      </c>
      <c r="AF39" s="3"/>
      <c r="AI39" s="9">
        <f>AJ38</f>
        <v>1216743</v>
      </c>
      <c r="AJ39" s="9">
        <f>AK38</f>
        <v>0</v>
      </c>
      <c r="AK39" s="9">
        <f>U38</f>
        <v>0</v>
      </c>
      <c r="AL39" s="3"/>
      <c r="AM39" s="3">
        <f t="shared" ref="AM39:AO40" si="17">AM38</f>
        <v>0</v>
      </c>
      <c r="AN39" s="3">
        <f t="shared" si="17"/>
        <v>1014745.9999999999</v>
      </c>
      <c r="AO39" s="3">
        <f t="shared" si="17"/>
        <v>0</v>
      </c>
      <c r="AP39" s="3" t="s">
        <v>29</v>
      </c>
      <c r="AQ39" s="3">
        <v>11</v>
      </c>
    </row>
    <row r="40" spans="1:43" x14ac:dyDescent="0.25">
      <c r="A40" s="3">
        <v>12</v>
      </c>
      <c r="B40" s="3">
        <v>12</v>
      </c>
      <c r="C40" s="9">
        <f t="shared" si="10"/>
        <v>703</v>
      </c>
      <c r="D40" s="7">
        <f t="shared" si="10"/>
        <v>473</v>
      </c>
      <c r="E40" s="5">
        <f t="shared" si="10"/>
        <v>-287</v>
      </c>
      <c r="F40" s="4">
        <f t="shared" si="10"/>
        <v>913</v>
      </c>
      <c r="G40" s="9">
        <f t="shared" si="10"/>
        <v>563</v>
      </c>
      <c r="H40" s="7">
        <f t="shared" si="10"/>
        <v>913</v>
      </c>
      <c r="I40" s="5">
        <f t="shared" si="10"/>
        <v>-156</v>
      </c>
      <c r="J40" s="4">
        <v>-80</v>
      </c>
      <c r="K40" s="9" t="str">
        <f t="shared" si="13"/>
        <v>703,473
563,913</v>
      </c>
      <c r="L40" s="5" t="str">
        <f t="shared" ref="L40:L41" si="18">C40 &amp; "," &amp; E40 &amp; CHAR(10) &amp; G40 &amp; "," &amp; I40</f>
        <v>703,-287
563,-156</v>
      </c>
      <c r="M40" s="4"/>
      <c r="N40" s="9">
        <f>D57</f>
        <v>375540.00000000006</v>
      </c>
      <c r="O40" s="5">
        <f>N57</f>
        <v>51912.999999999985</v>
      </c>
      <c r="P40" s="4">
        <f t="shared" si="15"/>
        <v>0</v>
      </c>
      <c r="Q40" s="75" t="str">
        <f t="shared" si="11"/>
        <v>-287,913
-156,-80</v>
      </c>
      <c r="R40" s="76" t="str">
        <f t="shared" si="12"/>
        <v>473,913
913,-80</v>
      </c>
      <c r="S40" s="81"/>
      <c r="T40" s="75">
        <f>I56</f>
        <v>165388</v>
      </c>
      <c r="U40" s="76">
        <f>O57</f>
        <v>-871409</v>
      </c>
      <c r="V40" s="81"/>
      <c r="W40" s="3">
        <v>12</v>
      </c>
      <c r="X40" s="9" t="e">
        <f>Q37*V37+Q40*U36</f>
        <v>#VALUE!</v>
      </c>
      <c r="Y40" s="31" t="e">
        <f t="shared" si="16"/>
        <v>#VALUE!</v>
      </c>
      <c r="Z40" s="33" t="e">
        <f>Z39+Q40*U37</f>
        <v>#VALUE!</v>
      </c>
      <c r="AA40" s="33" t="e">
        <f>+Q40*U37</f>
        <v>#VALUE!</v>
      </c>
      <c r="AB40" s="55" t="e">
        <f t="shared" ref="AB40:AB47" si="19">Z39</f>
        <v>#VALUE!</v>
      </c>
      <c r="AE40" s="3">
        <v>12</v>
      </c>
      <c r="AF40" s="3"/>
      <c r="AG40" s="3"/>
      <c r="AH40" s="3"/>
      <c r="AI40" s="3"/>
      <c r="AJ40" s="3"/>
      <c r="AK40" s="3"/>
      <c r="AL40" s="3"/>
      <c r="AM40" s="3">
        <f t="shared" si="17"/>
        <v>0</v>
      </c>
      <c r="AN40" s="3">
        <f t="shared" si="17"/>
        <v>1014745.9999999999</v>
      </c>
      <c r="AO40" s="3">
        <f t="shared" si="17"/>
        <v>0</v>
      </c>
      <c r="AP40" s="27" t="s">
        <v>28</v>
      </c>
      <c r="AQ40" s="3">
        <v>12</v>
      </c>
    </row>
    <row r="41" spans="1:43" x14ac:dyDescent="0.25">
      <c r="A41" s="3">
        <v>13</v>
      </c>
      <c r="B41" s="3">
        <v>13</v>
      </c>
      <c r="C41" s="9">
        <f t="shared" si="10"/>
        <v>473</v>
      </c>
      <c r="D41" s="7">
        <f t="shared" si="10"/>
        <v>-287</v>
      </c>
      <c r="E41" s="5">
        <f t="shared" si="10"/>
        <v>913</v>
      </c>
      <c r="F41" s="4">
        <f t="shared" si="10"/>
        <v>563</v>
      </c>
      <c r="G41" s="9">
        <f t="shared" si="10"/>
        <v>913</v>
      </c>
      <c r="H41" s="7">
        <f t="shared" si="10"/>
        <v>-156</v>
      </c>
      <c r="I41" s="5">
        <f t="shared" si="10"/>
        <v>-80</v>
      </c>
      <c r="J41" s="4">
        <v>976</v>
      </c>
      <c r="K41" s="9" t="str">
        <f t="shared" si="13"/>
        <v>473,-287
913,-156</v>
      </c>
      <c r="L41" s="5" t="str">
        <f t="shared" si="18"/>
        <v>473,913
913,-80</v>
      </c>
      <c r="M41" s="4"/>
      <c r="N41" s="9">
        <f>E57</f>
        <v>188243</v>
      </c>
      <c r="O41" s="5">
        <f>O57</f>
        <v>-871409</v>
      </c>
      <c r="P41" s="4">
        <f t="shared" si="15"/>
        <v>0</v>
      </c>
      <c r="Q41" s="75"/>
      <c r="R41" s="76"/>
      <c r="S41" s="81"/>
      <c r="T41" s="75"/>
      <c r="U41" s="76"/>
      <c r="V41" s="81"/>
      <c r="W41" s="3">
        <v>13</v>
      </c>
      <c r="X41" s="34" t="e">
        <f>X40-Q38*W36</f>
        <v>#VALUE!</v>
      </c>
      <c r="Y41" s="9" t="e">
        <f t="shared" si="16"/>
        <v>#VALUE!</v>
      </c>
      <c r="Z41" s="4" t="e">
        <f>Q37*U38-Q39*W36</f>
        <v>#VALUE!</v>
      </c>
      <c r="AA41" s="4"/>
      <c r="AB41" s="55" t="e">
        <f t="shared" si="19"/>
        <v>#VALUE!</v>
      </c>
      <c r="AC41" s="35" t="e">
        <f>AB41*Q41</f>
        <v>#VALUE!</v>
      </c>
      <c r="AD41" s="4" t="s">
        <v>66</v>
      </c>
      <c r="AE41" s="3">
        <v>13</v>
      </c>
      <c r="AF41" s="3"/>
      <c r="AG41" s="3"/>
      <c r="AH41" s="3"/>
      <c r="AI41" s="3"/>
      <c r="AJ41" s="3"/>
      <c r="AK41" s="3"/>
      <c r="AL41" s="3"/>
      <c r="AM41" s="3">
        <f>AN40</f>
        <v>1014745.9999999999</v>
      </c>
      <c r="AN41" s="3">
        <f>AO40</f>
        <v>0</v>
      </c>
      <c r="AO41" s="3">
        <f>V40</f>
        <v>0</v>
      </c>
      <c r="AP41" s="27" t="s">
        <v>27</v>
      </c>
      <c r="AQ41" s="3">
        <v>13</v>
      </c>
    </row>
    <row r="42" spans="1:43" x14ac:dyDescent="0.25">
      <c r="A42" s="3">
        <v>14</v>
      </c>
      <c r="B42" s="3">
        <v>14</v>
      </c>
      <c r="C42" s="9">
        <f t="shared" si="10"/>
        <v>-287</v>
      </c>
      <c r="D42" s="7">
        <f t="shared" si="10"/>
        <v>913</v>
      </c>
      <c r="E42" s="5">
        <f t="shared" si="10"/>
        <v>563</v>
      </c>
      <c r="F42" s="4">
        <f t="shared" si="10"/>
        <v>913</v>
      </c>
      <c r="G42" s="9">
        <f t="shared" si="10"/>
        <v>-156</v>
      </c>
      <c r="H42" s="7">
        <f t="shared" si="10"/>
        <v>-80</v>
      </c>
      <c r="I42" s="5">
        <f t="shared" si="10"/>
        <v>976</v>
      </c>
      <c r="J42" s="4">
        <v>238</v>
      </c>
      <c r="K42" s="9" t="str">
        <f t="shared" si="13"/>
        <v>-287,913
-156,-80</v>
      </c>
      <c r="L42" s="5"/>
      <c r="M42" s="4"/>
      <c r="N42" s="9">
        <f>F57</f>
        <v>165388</v>
      </c>
      <c r="O42" s="5">
        <f>L42</f>
        <v>0</v>
      </c>
      <c r="P42" s="4">
        <f t="shared" si="15"/>
        <v>0</v>
      </c>
      <c r="Q42" s="75" t="str">
        <f t="shared" si="11"/>
        <v>563,913
976,238</v>
      </c>
      <c r="R42" s="76"/>
      <c r="S42" s="81"/>
      <c r="T42" s="75">
        <f>J56</f>
        <v>-757094</v>
      </c>
      <c r="U42" s="76"/>
      <c r="V42" s="81"/>
      <c r="W42" s="3">
        <v>14</v>
      </c>
      <c r="X42" s="4" t="e">
        <f>Q37*U38+Q40*V36</f>
        <v>#VALUE!</v>
      </c>
      <c r="Y42" s="34" t="e">
        <f t="shared" si="16"/>
        <v>#VALUE!</v>
      </c>
      <c r="Z42" s="38" t="e">
        <f>Z41+Q40*V36</f>
        <v>#VALUE!</v>
      </c>
      <c r="AA42" s="38" t="e">
        <f>+Q40*V36</f>
        <v>#VALUE!</v>
      </c>
      <c r="AB42" s="55" t="e">
        <f t="shared" si="19"/>
        <v>#VALUE!</v>
      </c>
      <c r="AC42" s="35" t="s">
        <v>64</v>
      </c>
      <c r="AD42" s="35" t="e">
        <f>0-AC41</f>
        <v>#VALUE!</v>
      </c>
      <c r="AE42" s="3">
        <v>14</v>
      </c>
      <c r="AF42" s="3"/>
      <c r="AG42" s="3"/>
      <c r="AH42" s="3"/>
      <c r="AI42" s="3"/>
      <c r="AJ42" s="3"/>
      <c r="AK42" s="3"/>
      <c r="AL42" s="28">
        <f>AM41</f>
        <v>1014745.9999999999</v>
      </c>
      <c r="AM42" s="28">
        <f>AN41</f>
        <v>0</v>
      </c>
      <c r="AN42" s="28">
        <f>AO41</f>
        <v>0</v>
      </c>
      <c r="AO42" s="28">
        <f>V41</f>
        <v>0</v>
      </c>
      <c r="AP42" s="27" t="s">
        <v>26</v>
      </c>
      <c r="AQ42" s="3">
        <v>14</v>
      </c>
    </row>
    <row r="43" spans="1:43" x14ac:dyDescent="0.25">
      <c r="A43" s="3">
        <v>15</v>
      </c>
      <c r="B43" s="3">
        <v>15</v>
      </c>
      <c r="C43" s="9">
        <f t="shared" si="10"/>
        <v>913</v>
      </c>
      <c r="D43" s="7">
        <f t="shared" si="10"/>
        <v>563</v>
      </c>
      <c r="E43" s="5">
        <f t="shared" si="10"/>
        <v>913</v>
      </c>
      <c r="F43" s="4">
        <f t="shared" si="10"/>
        <v>-156</v>
      </c>
      <c r="G43" s="9">
        <f t="shared" si="10"/>
        <v>-80</v>
      </c>
      <c r="H43" s="7">
        <f t="shared" si="10"/>
        <v>976</v>
      </c>
      <c r="I43" s="5">
        <f t="shared" si="10"/>
        <v>238</v>
      </c>
      <c r="J43" s="4">
        <v>-331</v>
      </c>
      <c r="K43" s="9" t="s">
        <v>0</v>
      </c>
      <c r="L43" s="5"/>
      <c r="M43" s="4"/>
      <c r="N43" s="9" t="s">
        <v>0</v>
      </c>
      <c r="O43" s="5">
        <f>L43</f>
        <v>0</v>
      </c>
      <c r="P43" s="4">
        <f t="shared" si="15"/>
        <v>0</v>
      </c>
      <c r="Q43" s="75" t="str">
        <f t="shared" si="11"/>
        <v>913,-156
238,-331</v>
      </c>
      <c r="R43" s="76"/>
      <c r="S43" s="81"/>
      <c r="T43" s="75">
        <f>K56</f>
        <v>-265075</v>
      </c>
      <c r="U43" s="76"/>
      <c r="V43" s="81"/>
      <c r="W43" s="3">
        <v>15</v>
      </c>
      <c r="X43" s="38" t="e">
        <f>X42-Q39*W36</f>
        <v>#VALUE!</v>
      </c>
      <c r="Y43" s="4" t="e">
        <f t="shared" si="16"/>
        <v>#VALUE!</v>
      </c>
      <c r="Z43" s="9" t="e">
        <f>Q37*V37-Q38*W36</f>
        <v>#VALUE!</v>
      </c>
      <c r="AA43" s="9"/>
      <c r="AB43" s="55" t="e">
        <f t="shared" si="19"/>
        <v>#VALUE!</v>
      </c>
      <c r="AC43" s="4" t="e">
        <f>AB43*Q42</f>
        <v>#VALUE!</v>
      </c>
      <c r="AD43" s="35" t="s">
        <v>67</v>
      </c>
      <c r="AE43" s="3">
        <v>15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 t="s">
        <v>25</v>
      </c>
      <c r="AQ43" s="3">
        <v>15</v>
      </c>
    </row>
    <row r="44" spans="1:43" x14ac:dyDescent="0.25">
      <c r="A44" s="3">
        <v>16</v>
      </c>
      <c r="B44" s="3">
        <v>16</v>
      </c>
      <c r="C44" s="9">
        <f t="shared" si="10"/>
        <v>563</v>
      </c>
      <c r="D44" s="7">
        <f t="shared" si="10"/>
        <v>913</v>
      </c>
      <c r="E44" s="5">
        <f t="shared" si="10"/>
        <v>-156</v>
      </c>
      <c r="F44" s="4">
        <f t="shared" si="10"/>
        <v>-80</v>
      </c>
      <c r="G44" s="9">
        <f t="shared" si="10"/>
        <v>976</v>
      </c>
      <c r="H44" s="7">
        <f t="shared" si="10"/>
        <v>238</v>
      </c>
      <c r="I44" s="5">
        <f t="shared" si="10"/>
        <v>-331</v>
      </c>
      <c r="J44" s="4">
        <v>695</v>
      </c>
      <c r="K44" s="9" t="str">
        <f t="shared" si="13"/>
        <v>563,913
976,238</v>
      </c>
      <c r="L44" s="5"/>
      <c r="M44" s="4"/>
      <c r="N44" s="9">
        <f>D58</f>
        <v>-757094</v>
      </c>
      <c r="O44" s="5">
        <f>L44</f>
        <v>0</v>
      </c>
      <c r="P44" s="4">
        <f t="shared" si="15"/>
        <v>0</v>
      </c>
      <c r="Q44" s="75" t="str">
        <f t="shared" si="11"/>
        <v>-156,-80
-331,695</v>
      </c>
      <c r="R44" s="76"/>
      <c r="S44" s="81"/>
      <c r="T44" s="75">
        <f>L56</f>
        <v>-134900</v>
      </c>
      <c r="U44" s="76"/>
      <c r="V44" s="81"/>
      <c r="W44" s="3">
        <v>16</v>
      </c>
      <c r="X44" s="32" t="e">
        <f>Q38*U38+Q40*U37</f>
        <v>#VALUE!</v>
      </c>
      <c r="Y44" s="4" t="e">
        <f t="shared" si="16"/>
        <v>#VALUE!</v>
      </c>
      <c r="Z44" s="34" t="e">
        <f>Z43+Q40*U36</f>
        <v>#VALUE!</v>
      </c>
      <c r="AA44" s="34" t="e">
        <f>+Q40*U36</f>
        <v>#VALUE!</v>
      </c>
      <c r="AB44" s="55" t="e">
        <f t="shared" si="19"/>
        <v>#VALUE!</v>
      </c>
      <c r="AC44" s="4" t="s">
        <v>62</v>
      </c>
      <c r="AD44" s="4" t="e">
        <f>AC43+AD42</f>
        <v>#VALUE!</v>
      </c>
      <c r="AE44" s="3">
        <v>16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27" t="s">
        <v>24</v>
      </c>
      <c r="AQ44" s="3">
        <v>16</v>
      </c>
    </row>
    <row r="45" spans="1:43" x14ac:dyDescent="0.25">
      <c r="A45" s="3">
        <v>17</v>
      </c>
      <c r="B45" s="3" t="s">
        <v>10</v>
      </c>
      <c r="C45" s="9">
        <f>C44</f>
        <v>563</v>
      </c>
      <c r="D45" s="7">
        <f>D44</f>
        <v>913</v>
      </c>
      <c r="E45" s="5">
        <f>E44</f>
        <v>-156</v>
      </c>
      <c r="F45" s="4">
        <f>F44</f>
        <v>-80</v>
      </c>
      <c r="G45" s="9">
        <f>G44</f>
        <v>976</v>
      </c>
      <c r="H45" s="7">
        <f>H44</f>
        <v>238</v>
      </c>
      <c r="I45" s="5">
        <f>I44</f>
        <v>-331</v>
      </c>
      <c r="J45" s="4">
        <f>J44</f>
        <v>695</v>
      </c>
      <c r="K45" s="9" t="str">
        <f t="shared" si="13"/>
        <v>563,913
976,238</v>
      </c>
      <c r="L45" s="5"/>
      <c r="M45" s="4"/>
      <c r="N45" s="9">
        <f>E58</f>
        <v>-265075</v>
      </c>
      <c r="O45" s="5">
        <f>L45</f>
        <v>0</v>
      </c>
      <c r="P45" s="4">
        <f t="shared" si="15"/>
        <v>0</v>
      </c>
      <c r="Q45" s="75"/>
      <c r="R45" s="76"/>
      <c r="S45" s="81"/>
      <c r="T45" s="75"/>
      <c r="U45" s="76"/>
      <c r="V45" s="81"/>
      <c r="W45" s="3">
        <v>17</v>
      </c>
      <c r="X45" s="33" t="e">
        <f>X44-Q39*V37</f>
        <v>#VALUE!</v>
      </c>
      <c r="Y45" s="32" t="e">
        <f t="shared" si="16"/>
        <v>#VALUE!</v>
      </c>
      <c r="Z45" s="30" t="e">
        <f>J45*U37-K45*V36</f>
        <v>#VALUE!</v>
      </c>
      <c r="AA45" s="30"/>
      <c r="AB45" s="55" t="e">
        <f t="shared" si="19"/>
        <v>#VALUE!</v>
      </c>
      <c r="AC45" s="9" t="e">
        <f>AB45*Q43</f>
        <v>#VALUE!</v>
      </c>
      <c r="AD45" s="4" t="s">
        <v>66</v>
      </c>
      <c r="AE45" s="3">
        <v>17</v>
      </c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17</v>
      </c>
    </row>
    <row r="46" spans="1:43" x14ac:dyDescent="0.25">
      <c r="A46" s="3">
        <v>18</v>
      </c>
      <c r="B46" s="3" t="s">
        <v>10</v>
      </c>
      <c r="C46" s="9">
        <f t="shared" ref="C46:J47" si="20">C45</f>
        <v>563</v>
      </c>
      <c r="D46" s="7">
        <f t="shared" si="20"/>
        <v>913</v>
      </c>
      <c r="E46" s="5">
        <f t="shared" si="20"/>
        <v>-156</v>
      </c>
      <c r="F46" s="4">
        <f t="shared" si="20"/>
        <v>-80</v>
      </c>
      <c r="G46" s="9">
        <f t="shared" si="20"/>
        <v>976</v>
      </c>
      <c r="H46" s="7">
        <f t="shared" si="20"/>
        <v>238</v>
      </c>
      <c r="I46" s="5">
        <f t="shared" si="20"/>
        <v>-331</v>
      </c>
      <c r="J46" s="4">
        <f t="shared" si="20"/>
        <v>695</v>
      </c>
      <c r="K46" s="9" t="str">
        <f t="shared" si="13"/>
        <v>563,913
976,238</v>
      </c>
      <c r="L46" s="5"/>
      <c r="M46" s="4"/>
      <c r="N46" s="9">
        <f>F58</f>
        <v>-134900</v>
      </c>
      <c r="O46" s="5">
        <f>L46</f>
        <v>0</v>
      </c>
      <c r="P46" s="4">
        <f t="shared" si="15"/>
        <v>0</v>
      </c>
      <c r="Q46" s="75"/>
      <c r="R46" s="76"/>
      <c r="S46" s="81"/>
      <c r="T46" s="75"/>
      <c r="U46" s="76"/>
      <c r="V46" s="81"/>
      <c r="W46" s="3">
        <v>18</v>
      </c>
      <c r="X46" s="32"/>
      <c r="Y46" s="35" t="e">
        <f t="shared" si="16"/>
        <v>#VALUE!</v>
      </c>
      <c r="Z46" s="31" t="e">
        <f>Z45+AA46</f>
        <v>#VALUE!</v>
      </c>
      <c r="AA46" s="31">
        <f>+L46*U36</f>
        <v>0</v>
      </c>
      <c r="AB46" s="55" t="e">
        <f t="shared" si="19"/>
        <v>#VALUE!</v>
      </c>
      <c r="AC46" s="9" t="s">
        <v>61</v>
      </c>
      <c r="AD46" s="9" t="e">
        <f>AD44-AC45</f>
        <v>#VALUE!</v>
      </c>
      <c r="AE46" s="3">
        <v>18</v>
      </c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18</v>
      </c>
    </row>
    <row r="47" spans="1:43" ht="16.5" thickBot="1" x14ac:dyDescent="0.3">
      <c r="A47" s="3">
        <v>19</v>
      </c>
      <c r="B47" s="3"/>
      <c r="C47" s="9">
        <f t="shared" si="20"/>
        <v>563</v>
      </c>
      <c r="D47" s="7">
        <f t="shared" si="20"/>
        <v>913</v>
      </c>
      <c r="E47" s="5">
        <f t="shared" si="20"/>
        <v>-156</v>
      </c>
      <c r="F47" s="4">
        <f t="shared" si="20"/>
        <v>-80</v>
      </c>
      <c r="G47" s="9">
        <f t="shared" si="20"/>
        <v>976</v>
      </c>
      <c r="H47" s="7">
        <f t="shared" si="20"/>
        <v>238</v>
      </c>
      <c r="I47" s="5">
        <f t="shared" si="20"/>
        <v>-331</v>
      </c>
      <c r="J47" s="4">
        <f t="shared" si="20"/>
        <v>695</v>
      </c>
      <c r="K47" s="3"/>
      <c r="L47" s="3"/>
      <c r="M47" s="3"/>
      <c r="N47" s="3"/>
      <c r="O47" s="3"/>
      <c r="P47" s="3"/>
      <c r="Q47" s="77"/>
      <c r="R47" s="78"/>
      <c r="S47" s="82"/>
      <c r="T47" s="77"/>
      <c r="U47" s="78"/>
      <c r="V47" s="82"/>
      <c r="W47" s="3">
        <v>19</v>
      </c>
      <c r="X47" s="32"/>
      <c r="Y47" s="4"/>
      <c r="Z47" s="56" t="s">
        <v>112</v>
      </c>
      <c r="AB47" s="57" t="e">
        <f t="shared" si="19"/>
        <v>#VALUE!</v>
      </c>
      <c r="AC47" s="31" t="e">
        <f>AB47*Q44</f>
        <v>#VALUE!</v>
      </c>
      <c r="AD47" s="9" t="s">
        <v>65</v>
      </c>
      <c r="AE47" s="3">
        <v>19</v>
      </c>
      <c r="AQ47" s="3">
        <v>19</v>
      </c>
    </row>
    <row r="48" spans="1:43" x14ac:dyDescent="0.25">
      <c r="A48" s="3">
        <v>20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68"/>
      <c r="S48" s="68"/>
      <c r="T48" s="68"/>
      <c r="U48" s="68"/>
      <c r="V48" s="3"/>
      <c r="W48" s="3">
        <v>20</v>
      </c>
      <c r="X48" s="32"/>
      <c r="Y48" s="4"/>
      <c r="AC48" s="31" t="s">
        <v>63</v>
      </c>
      <c r="AD48" s="31" t="e">
        <f>AD46+AC47</f>
        <v>#VALUE!</v>
      </c>
      <c r="AE48" s="3">
        <v>20</v>
      </c>
      <c r="AQ48" s="3">
        <v>20</v>
      </c>
    </row>
    <row r="49" spans="3:44" x14ac:dyDescent="0.25">
      <c r="X49" s="30"/>
      <c r="Y49" s="3"/>
      <c r="AC49" s="9"/>
      <c r="AD49" s="31" t="s">
        <v>63</v>
      </c>
      <c r="AE49" s="3"/>
    </row>
    <row r="50" spans="3:44" x14ac:dyDescent="0.25">
      <c r="AA50" s="61"/>
      <c r="AB50" s="61"/>
    </row>
    <row r="51" spans="3:44" x14ac:dyDescent="0.25">
      <c r="C51">
        <f>J29</f>
        <v>507</v>
      </c>
      <c r="D51">
        <f>J30</f>
        <v>926</v>
      </c>
      <c r="E51">
        <f>J31</f>
        <v>441</v>
      </c>
      <c r="F51">
        <f>J32</f>
        <v>-785</v>
      </c>
      <c r="H51" s="19">
        <f>C51</f>
        <v>507</v>
      </c>
      <c r="I51" s="19">
        <f>E51</f>
        <v>441</v>
      </c>
      <c r="J51" s="19"/>
      <c r="K51" s="19">
        <f>D51</f>
        <v>926</v>
      </c>
      <c r="L51" s="19">
        <f>F51</f>
        <v>-785</v>
      </c>
      <c r="M51" s="19"/>
      <c r="N51" s="19">
        <f>C52</f>
        <v>703</v>
      </c>
      <c r="O51" s="19">
        <f>E52</f>
        <v>-287</v>
      </c>
      <c r="P51" s="19"/>
      <c r="Q51" s="19">
        <f>D52</f>
        <v>473</v>
      </c>
      <c r="R51" s="19">
        <f>F52</f>
        <v>913</v>
      </c>
      <c r="T51" s="18">
        <f>C51</f>
        <v>507</v>
      </c>
      <c r="U51" s="18">
        <f>F51</f>
        <v>-785</v>
      </c>
      <c r="AA51" s="61"/>
      <c r="AB51" s="61"/>
    </row>
    <row r="52" spans="3:44" x14ac:dyDescent="0.25">
      <c r="C52">
        <f>J33</f>
        <v>703</v>
      </c>
      <c r="D52">
        <f>J34</f>
        <v>473</v>
      </c>
      <c r="E52">
        <f>J35</f>
        <v>-287</v>
      </c>
      <c r="F52">
        <f>J36</f>
        <v>913</v>
      </c>
      <c r="H52" s="19">
        <f>C52</f>
        <v>703</v>
      </c>
      <c r="I52" s="19">
        <f>E52</f>
        <v>-287</v>
      </c>
      <c r="J52" s="19"/>
      <c r="K52" s="19">
        <f>D52</f>
        <v>473</v>
      </c>
      <c r="L52" s="19">
        <f>F52</f>
        <v>913</v>
      </c>
      <c r="M52" s="19"/>
      <c r="N52" s="19">
        <f>C53</f>
        <v>563</v>
      </c>
      <c r="O52" s="19">
        <f>E53</f>
        <v>-156</v>
      </c>
      <c r="P52" s="19"/>
      <c r="Q52" s="19">
        <f>D53</f>
        <v>913</v>
      </c>
      <c r="R52" s="19">
        <f>F53</f>
        <v>-80</v>
      </c>
      <c r="T52" s="18">
        <f>C52</f>
        <v>703</v>
      </c>
      <c r="U52" s="18">
        <f>F52</f>
        <v>913</v>
      </c>
      <c r="AA52" s="61"/>
      <c r="AB52" s="61"/>
    </row>
    <row r="53" spans="3:44" x14ac:dyDescent="0.25">
      <c r="C53">
        <f>J37</f>
        <v>563</v>
      </c>
      <c r="D53">
        <f>J38</f>
        <v>913</v>
      </c>
      <c r="E53">
        <f>J39</f>
        <v>-156</v>
      </c>
      <c r="F53">
        <f>J40</f>
        <v>-80</v>
      </c>
    </row>
    <row r="54" spans="3:44" x14ac:dyDescent="0.25">
      <c r="C54">
        <f>J41</f>
        <v>976</v>
      </c>
      <c r="D54">
        <f>J42</f>
        <v>238</v>
      </c>
      <c r="E54">
        <f>J43</f>
        <v>-331</v>
      </c>
      <c r="F54">
        <f>J44</f>
        <v>695</v>
      </c>
    </row>
    <row r="56" spans="3:44" ht="17.25" x14ac:dyDescent="0.3">
      <c r="C56" t="s">
        <v>107</v>
      </c>
      <c r="D56" s="58">
        <f>MDETERM(C51:D52)</f>
        <v>-411167</v>
      </c>
      <c r="E56" s="58">
        <f>MDETERM(D51:E52)</f>
        <v>-474355</v>
      </c>
      <c r="F56" s="58">
        <f>MDETERM(E51:F52)</f>
        <v>177338</v>
      </c>
      <c r="G56" s="10">
        <f>D57</f>
        <v>375540.00000000006</v>
      </c>
      <c r="H56" s="10">
        <f>E57</f>
        <v>188243</v>
      </c>
      <c r="I56" s="10">
        <f>F57</f>
        <v>165388</v>
      </c>
      <c r="J56" s="10">
        <f>D58</f>
        <v>-757094</v>
      </c>
      <c r="K56" s="10">
        <f>E58</f>
        <v>-265075</v>
      </c>
      <c r="L56" s="10">
        <f>F58</f>
        <v>-134900</v>
      </c>
      <c r="M56" s="10"/>
      <c r="N56" s="6">
        <f>MDETERM(H51:I52)</f>
        <v>-455532</v>
      </c>
      <c r="O56" s="6">
        <f>MDETERM(K51:L52)</f>
        <v>1216743</v>
      </c>
      <c r="P56">
        <f>N57</f>
        <v>51912.999999999985</v>
      </c>
      <c r="Q56">
        <f>O57</f>
        <v>-871409</v>
      </c>
      <c r="T56">
        <f>MDETERM(T51:U52)</f>
        <v>1014745.9999999999</v>
      </c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</row>
    <row r="57" spans="3:44" ht="17.25" x14ac:dyDescent="0.3">
      <c r="D57" s="58">
        <f t="shared" ref="D57:F58" si="21">MDETERM(C52:D53)</f>
        <v>375540.00000000006</v>
      </c>
      <c r="E57" s="58">
        <f t="shared" si="21"/>
        <v>188243</v>
      </c>
      <c r="F57" s="58">
        <f t="shared" si="21"/>
        <v>165388</v>
      </c>
      <c r="N57" s="6">
        <f>MDETERM(N51:O52)</f>
        <v>51912.999999999985</v>
      </c>
      <c r="O57" s="6">
        <f>MDETERM(Q51:R52)</f>
        <v>-871409</v>
      </c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</row>
    <row r="58" spans="3:44" ht="17.25" x14ac:dyDescent="0.3">
      <c r="D58" s="58">
        <f t="shared" si="21"/>
        <v>-757094</v>
      </c>
      <c r="E58" s="58">
        <f t="shared" si="21"/>
        <v>-265075</v>
      </c>
      <c r="F58" s="58">
        <f t="shared" si="21"/>
        <v>-134900</v>
      </c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</row>
    <row r="59" spans="3:44" x14ac:dyDescent="0.25"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</row>
    <row r="60" spans="3:44" x14ac:dyDescent="0.25"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</row>
    <row r="61" spans="3:44" x14ac:dyDescent="0.25">
      <c r="C61" t="s">
        <v>108</v>
      </c>
      <c r="D61">
        <f>MDETERM(C51:E53)</f>
        <v>212980903.00000006</v>
      </c>
      <c r="E61">
        <f>MDETERM(D51:F53)</f>
        <v>389669902</v>
      </c>
      <c r="F61">
        <f>D62</f>
        <v>47066134</v>
      </c>
      <c r="G61">
        <f>E62</f>
        <v>-118245149.99999999</v>
      </c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</row>
    <row r="62" spans="3:44" x14ac:dyDescent="0.25">
      <c r="D62">
        <f>MDETERM(C52:E54)</f>
        <v>47066134</v>
      </c>
      <c r="E62">
        <f>MDETERM(D52:F54)</f>
        <v>-118245149.99999999</v>
      </c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</row>
    <row r="63" spans="3:44" x14ac:dyDescent="0.25"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</row>
    <row r="64" spans="3:44" x14ac:dyDescent="0.25"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</row>
    <row r="65" spans="3:44" x14ac:dyDescent="0.25">
      <c r="C65" t="s">
        <v>109</v>
      </c>
      <c r="D65">
        <f>MDETERM(C51:F54)</f>
        <v>-231212925026</v>
      </c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</row>
    <row r="66" spans="3:44" x14ac:dyDescent="0.25"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</row>
    <row r="67" spans="3:44" x14ac:dyDescent="0.25">
      <c r="V67" s="62"/>
      <c r="W67" s="62"/>
      <c r="X67" s="65"/>
      <c r="Y67" s="65"/>
      <c r="Z67" s="65"/>
      <c r="AA67" s="62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2"/>
      <c r="AR67" s="62"/>
    </row>
    <row r="68" spans="3:44" x14ac:dyDescent="0.25">
      <c r="V68" s="62"/>
      <c r="W68" s="62"/>
      <c r="X68" s="65"/>
      <c r="Y68" s="65"/>
      <c r="Z68" s="65"/>
      <c r="AA68" s="62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2"/>
      <c r="AR68" s="62"/>
    </row>
    <row r="69" spans="3:44" x14ac:dyDescent="0.25">
      <c r="V69" s="62"/>
      <c r="W69" s="62"/>
      <c r="X69" s="65"/>
      <c r="Y69" s="65"/>
      <c r="Z69" s="65"/>
      <c r="AA69" s="62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2"/>
      <c r="AR69" s="62"/>
    </row>
    <row r="70" spans="3:44" x14ac:dyDescent="0.25">
      <c r="V70" s="62"/>
      <c r="W70" s="62"/>
      <c r="X70" s="65"/>
      <c r="Y70" s="65"/>
      <c r="Z70" s="65"/>
      <c r="AA70" s="62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2"/>
      <c r="AR70" s="62"/>
    </row>
    <row r="71" spans="3:44" x14ac:dyDescent="0.25">
      <c r="V71" s="62"/>
      <c r="W71" s="62"/>
      <c r="X71" s="65"/>
      <c r="Y71" s="65"/>
      <c r="Z71" s="65"/>
      <c r="AA71" s="62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2"/>
      <c r="AR71" s="62"/>
    </row>
    <row r="72" spans="3:44" x14ac:dyDescent="0.25">
      <c r="V72" s="62"/>
      <c r="W72" s="62"/>
      <c r="X72" s="65"/>
      <c r="Y72" s="65"/>
      <c r="Z72" s="65"/>
      <c r="AA72" s="62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2"/>
      <c r="AR72" s="62"/>
    </row>
    <row r="73" spans="3:44" x14ac:dyDescent="0.25">
      <c r="V73" s="62"/>
      <c r="W73" s="62"/>
      <c r="X73" s="65"/>
      <c r="Y73" s="65"/>
      <c r="Z73" s="65"/>
      <c r="AA73" s="62"/>
      <c r="AB73" s="65"/>
      <c r="AC73" s="65"/>
      <c r="AD73" s="65"/>
      <c r="AE73" s="65"/>
      <c r="AF73" s="65"/>
      <c r="AG73" s="65"/>
      <c r="AH73" s="62"/>
      <c r="AI73" s="65"/>
      <c r="AJ73" s="65"/>
      <c r="AK73" s="65"/>
      <c r="AL73" s="65"/>
      <c r="AM73" s="65"/>
      <c r="AN73" s="65"/>
      <c r="AO73" s="65"/>
      <c r="AP73" s="65"/>
      <c r="AQ73" s="62"/>
      <c r="AR73" s="62"/>
    </row>
    <row r="74" spans="3:44" x14ac:dyDescent="0.25">
      <c r="V74" s="62"/>
      <c r="W74" s="62"/>
      <c r="X74" s="65"/>
      <c r="Y74" s="65"/>
      <c r="Z74" s="65"/>
      <c r="AA74" s="62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2"/>
      <c r="AR74" s="62"/>
    </row>
    <row r="75" spans="3:44" x14ac:dyDescent="0.25">
      <c r="V75" s="62"/>
      <c r="W75" s="62"/>
      <c r="X75" s="65"/>
      <c r="Y75" s="65"/>
      <c r="Z75" s="65"/>
      <c r="AA75" s="62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2"/>
      <c r="AR75" s="62"/>
    </row>
    <row r="76" spans="3:44" x14ac:dyDescent="0.25">
      <c r="V76" s="62"/>
      <c r="W76" s="62"/>
      <c r="X76" s="65"/>
      <c r="Y76" s="65"/>
      <c r="Z76" s="65"/>
      <c r="AA76" s="62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86"/>
      <c r="AQ76" s="62"/>
      <c r="AR76" s="62"/>
    </row>
    <row r="77" spans="3:44" x14ac:dyDescent="0.25">
      <c r="V77" s="62"/>
      <c r="W77" s="62"/>
      <c r="X77" s="65"/>
      <c r="Y77" s="65"/>
      <c r="Z77" s="65"/>
      <c r="AA77" s="62"/>
      <c r="AB77" s="65"/>
      <c r="AC77" s="65"/>
      <c r="AD77" s="65"/>
      <c r="AE77" s="65"/>
      <c r="AF77" s="65"/>
      <c r="AG77" s="62"/>
      <c r="AH77" s="87"/>
      <c r="AI77" s="65"/>
      <c r="AJ77" s="65"/>
      <c r="AK77" s="65"/>
      <c r="AL77" s="65"/>
      <c r="AM77" s="65"/>
      <c r="AN77" s="65"/>
      <c r="AO77" s="65"/>
      <c r="AP77" s="86"/>
      <c r="AQ77" s="62"/>
      <c r="AR77" s="62"/>
    </row>
    <row r="78" spans="3:44" x14ac:dyDescent="0.25">
      <c r="V78" s="62"/>
      <c r="W78" s="62"/>
      <c r="X78" s="65"/>
      <c r="Y78" s="65"/>
      <c r="Z78" s="62"/>
      <c r="AA78" s="62"/>
      <c r="AB78" s="62"/>
      <c r="AC78" s="62"/>
      <c r="AD78" s="62"/>
      <c r="AE78" s="65"/>
      <c r="AF78" s="65"/>
      <c r="AG78" s="62"/>
      <c r="AH78" s="62"/>
      <c r="AI78" s="65"/>
      <c r="AJ78" s="65"/>
      <c r="AK78" s="65"/>
      <c r="AL78" s="65"/>
      <c r="AM78" s="65"/>
      <c r="AN78" s="65"/>
      <c r="AO78" s="65"/>
      <c r="AP78" s="86"/>
      <c r="AQ78" s="62"/>
      <c r="AR78" s="62"/>
    </row>
    <row r="79" spans="3:44" x14ac:dyDescent="0.25">
      <c r="V79" s="62"/>
      <c r="W79" s="62"/>
      <c r="X79" s="88"/>
      <c r="Y79" s="65"/>
      <c r="Z79" s="65"/>
      <c r="AA79" s="62"/>
      <c r="AB79" s="62"/>
      <c r="AC79" s="62"/>
      <c r="AD79" s="62"/>
      <c r="AE79" s="65"/>
      <c r="AF79" s="65"/>
      <c r="AG79" s="62"/>
      <c r="AH79" s="62"/>
      <c r="AI79" s="65"/>
      <c r="AJ79" s="65"/>
      <c r="AK79" s="65"/>
      <c r="AL79" s="65"/>
      <c r="AM79" s="65"/>
      <c r="AN79" s="65"/>
      <c r="AO79" s="65"/>
      <c r="AP79" s="65"/>
      <c r="AQ79" s="62"/>
      <c r="AR79" s="62"/>
    </row>
    <row r="80" spans="3:44" x14ac:dyDescent="0.25">
      <c r="V80" s="62"/>
      <c r="W80" s="62"/>
      <c r="X80" s="65"/>
      <c r="Y80" s="88"/>
      <c r="Z80" s="88"/>
      <c r="AA80" s="62"/>
      <c r="AB80" s="62"/>
      <c r="AC80" s="62"/>
      <c r="AD80" s="62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86"/>
      <c r="AQ80" s="62"/>
      <c r="AR80" s="62"/>
    </row>
    <row r="81" spans="22:44" x14ac:dyDescent="0.25">
      <c r="V81" s="62"/>
      <c r="W81" s="62"/>
      <c r="X81" s="88"/>
      <c r="Y81" s="65"/>
      <c r="Z81" s="65"/>
      <c r="AA81" s="62"/>
      <c r="AB81" s="62"/>
      <c r="AC81" s="88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86"/>
      <c r="AQ81" s="62"/>
      <c r="AR81" s="62"/>
    </row>
    <row r="82" spans="22:44" x14ac:dyDescent="0.25">
      <c r="V82" s="62"/>
      <c r="W82" s="62"/>
      <c r="X82" s="65"/>
      <c r="Y82" s="88"/>
      <c r="Z82" s="88"/>
      <c r="AA82" s="62"/>
      <c r="AB82" s="62"/>
      <c r="AC82" s="88"/>
      <c r="AD82" s="88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86"/>
      <c r="AQ82" s="62"/>
      <c r="AR82" s="62"/>
    </row>
    <row r="83" spans="22:44" x14ac:dyDescent="0.25">
      <c r="V83" s="62"/>
      <c r="W83" s="62"/>
      <c r="X83" s="88"/>
      <c r="Y83" s="65"/>
      <c r="Z83" s="65"/>
      <c r="AA83" s="62"/>
      <c r="AB83" s="62"/>
      <c r="AC83" s="65"/>
      <c r="AD83" s="88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2"/>
      <c r="AR83" s="62"/>
    </row>
    <row r="84" spans="22:44" x14ac:dyDescent="0.25">
      <c r="V84" s="62"/>
      <c r="W84" s="62"/>
      <c r="X84" s="65"/>
      <c r="Y84" s="65"/>
      <c r="Z84" s="88"/>
      <c r="AA84" s="62"/>
      <c r="AB84" s="62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86"/>
      <c r="AQ84" s="62"/>
      <c r="AR84" s="62"/>
    </row>
    <row r="85" spans="22:44" x14ac:dyDescent="0.25">
      <c r="V85" s="62"/>
      <c r="W85" s="62"/>
      <c r="X85" s="65"/>
      <c r="Y85" s="62">
        <v>-2</v>
      </c>
      <c r="Z85" t="s">
        <v>35</v>
      </c>
      <c r="AA85" s="62"/>
      <c r="AB85" s="62"/>
      <c r="AC85" s="65"/>
      <c r="AD85" s="65"/>
      <c r="AE85" s="65"/>
      <c r="AF85" s="65"/>
      <c r="AG85" s="65"/>
      <c r="AH85" s="65"/>
      <c r="AI85" s="62">
        <v>-2</v>
      </c>
      <c r="AJ85" t="s">
        <v>35</v>
      </c>
      <c r="AK85" s="62"/>
      <c r="AL85" s="62"/>
      <c r="AM85" s="65"/>
      <c r="AN85" s="65"/>
      <c r="AO85" s="65"/>
      <c r="AP85" s="65"/>
      <c r="AQ85" s="65"/>
      <c r="AR85" s="62"/>
    </row>
    <row r="86" spans="22:44" x14ac:dyDescent="0.25">
      <c r="V86" s="62"/>
      <c r="W86" s="62"/>
      <c r="X86" s="65"/>
      <c r="Y86" s="62">
        <v>-1</v>
      </c>
      <c r="Z86" s="88"/>
      <c r="AA86" s="62"/>
      <c r="AB86" s="62"/>
      <c r="AC86" s="65"/>
      <c r="AD86" s="65"/>
      <c r="AE86" s="65"/>
      <c r="AF86" s="65"/>
      <c r="AG86" s="65"/>
      <c r="AH86" s="65"/>
      <c r="AI86" s="62">
        <v>-1</v>
      </c>
      <c r="AJ86" s="88"/>
      <c r="AK86" s="62"/>
      <c r="AL86" s="62"/>
      <c r="AM86" s="65"/>
      <c r="AN86" s="65"/>
      <c r="AO86" s="65"/>
      <c r="AP86" s="65"/>
      <c r="AQ86" s="65"/>
      <c r="AR86" s="62"/>
    </row>
    <row r="87" spans="22:44" x14ac:dyDescent="0.25">
      <c r="V87" s="62"/>
      <c r="W87" s="62"/>
      <c r="X87" s="65"/>
      <c r="Y87" s="62">
        <v>0</v>
      </c>
      <c r="Z87" s="62"/>
      <c r="AA87" s="62"/>
      <c r="AB87" s="62"/>
      <c r="AC87" s="88"/>
      <c r="AD87" s="65"/>
      <c r="AE87" s="65"/>
      <c r="AF87" s="65"/>
      <c r="AG87" s="65"/>
      <c r="AH87" s="65"/>
      <c r="AI87" s="62">
        <v>0</v>
      </c>
      <c r="AJ87" s="62"/>
      <c r="AK87" s="62"/>
      <c r="AL87" s="62"/>
      <c r="AM87" s="88"/>
      <c r="AN87" s="65"/>
      <c r="AO87" s="65"/>
      <c r="AP87" s="65"/>
      <c r="AQ87" s="65"/>
      <c r="AR87" s="62"/>
    </row>
    <row r="88" spans="22:44" x14ac:dyDescent="0.25">
      <c r="V88" s="62"/>
      <c r="W88" s="62"/>
      <c r="X88" s="65"/>
      <c r="Y88" s="62">
        <v>1</v>
      </c>
      <c r="Z88" s="62"/>
      <c r="AA88" s="62"/>
      <c r="AB88" s="62"/>
      <c r="AC88" s="88"/>
      <c r="AD88" s="88"/>
      <c r="AE88" s="65"/>
      <c r="AF88" s="65"/>
      <c r="AG88" s="65"/>
      <c r="AH88" s="65"/>
      <c r="AI88" s="62">
        <v>1</v>
      </c>
      <c r="AJ88" s="62"/>
      <c r="AK88" s="62"/>
      <c r="AL88" s="62"/>
      <c r="AM88" s="88"/>
      <c r="AN88" s="88"/>
      <c r="AO88" s="65"/>
      <c r="AP88" s="65"/>
      <c r="AQ88" s="65"/>
      <c r="AR88" s="62"/>
    </row>
    <row r="89" spans="22:44" x14ac:dyDescent="0.25">
      <c r="V89" s="62"/>
      <c r="W89" s="62"/>
      <c r="X89" s="65"/>
      <c r="Y89" s="62">
        <v>2</v>
      </c>
      <c r="Z89" s="62"/>
      <c r="AA89" s="62"/>
      <c r="AB89" s="62"/>
      <c r="AC89" s="65"/>
      <c r="AD89" s="88"/>
      <c r="AE89" s="65"/>
      <c r="AF89" s="65"/>
      <c r="AG89" s="65"/>
      <c r="AH89" s="65"/>
      <c r="AI89" s="62">
        <v>2</v>
      </c>
      <c r="AJ89" s="62"/>
      <c r="AK89" s="62"/>
      <c r="AL89" s="62"/>
      <c r="AM89" s="65"/>
      <c r="AN89" s="88"/>
      <c r="AO89" s="65"/>
      <c r="AP89" s="65"/>
      <c r="AQ89" s="65"/>
      <c r="AR89" s="62"/>
    </row>
    <row r="90" spans="22:44" x14ac:dyDescent="0.25">
      <c r="V90" s="62"/>
      <c r="W90" s="62"/>
      <c r="X90" s="88"/>
      <c r="Y90" s="62">
        <v>3</v>
      </c>
      <c r="Z90" s="62"/>
      <c r="AA90" s="62"/>
      <c r="AB90" s="62"/>
      <c r="AC90" s="62"/>
      <c r="AD90" s="62"/>
      <c r="AE90" s="65"/>
      <c r="AF90" s="65"/>
      <c r="AG90" s="65"/>
      <c r="AH90" s="65"/>
      <c r="AI90" s="62">
        <v>3</v>
      </c>
      <c r="AJ90" s="62"/>
      <c r="AK90" s="62"/>
      <c r="AL90" s="62"/>
      <c r="AM90" s="62"/>
      <c r="AN90" s="62"/>
      <c r="AO90" s="65"/>
      <c r="AP90" s="65"/>
      <c r="AQ90" s="65"/>
      <c r="AR90" s="62"/>
    </row>
    <row r="91" spans="22:44" x14ac:dyDescent="0.25">
      <c r="V91" s="62"/>
      <c r="W91" s="62"/>
      <c r="X91" s="65"/>
      <c r="Y91" s="62">
        <v>4</v>
      </c>
      <c r="Z91" s="62" t="s">
        <v>35</v>
      </c>
      <c r="AA91" s="62"/>
      <c r="AB91" s="62"/>
      <c r="AC91" s="62"/>
      <c r="AD91" s="62"/>
      <c r="AE91" s="65"/>
      <c r="AF91" s="65"/>
      <c r="AG91" s="65"/>
      <c r="AH91" s="65"/>
      <c r="AI91" s="62">
        <v>4</v>
      </c>
      <c r="AJ91" s="62" t="s">
        <v>35</v>
      </c>
      <c r="AK91" s="62"/>
      <c r="AL91" s="62"/>
      <c r="AM91" s="62"/>
      <c r="AN91" s="62"/>
      <c r="AO91" s="65"/>
      <c r="AP91" s="65"/>
      <c r="AQ91" s="65"/>
      <c r="AR91" s="62"/>
    </row>
    <row r="92" spans="22:44" x14ac:dyDescent="0.25">
      <c r="V92" s="62"/>
      <c r="W92" s="62"/>
      <c r="X92" s="88"/>
      <c r="Y92" s="62">
        <v>5</v>
      </c>
      <c r="Z92" s="65"/>
      <c r="AA92" s="62"/>
      <c r="AB92" s="65"/>
      <c r="AC92" s="65"/>
      <c r="AD92" s="65"/>
      <c r="AE92" s="65"/>
      <c r="AF92" s="65"/>
      <c r="AG92" s="65"/>
      <c r="AH92" s="65"/>
      <c r="AI92" s="62">
        <v>5</v>
      </c>
      <c r="AJ92" s="65"/>
      <c r="AK92" s="62"/>
      <c r="AL92" s="65"/>
      <c r="AM92" s="65"/>
      <c r="AN92" s="65"/>
      <c r="AO92" s="65"/>
      <c r="AP92" s="65"/>
      <c r="AQ92" s="65"/>
      <c r="AR92" s="62"/>
    </row>
    <row r="93" spans="22:44" x14ac:dyDescent="0.25">
      <c r="V93" s="62"/>
      <c r="W93" s="62"/>
      <c r="X93" s="65"/>
      <c r="Y93" s="62">
        <v>6</v>
      </c>
      <c r="Z93" s="65"/>
      <c r="AA93" s="62"/>
      <c r="AB93" s="65"/>
      <c r="AC93" s="65"/>
      <c r="AD93" s="65"/>
      <c r="AE93" s="65"/>
      <c r="AF93" s="65"/>
      <c r="AG93" s="65"/>
      <c r="AH93" s="65"/>
      <c r="AI93" s="62">
        <v>6</v>
      </c>
      <c r="AJ93" s="65"/>
      <c r="AK93" s="62"/>
      <c r="AL93" s="65"/>
      <c r="AM93" s="65"/>
      <c r="AN93" s="65"/>
      <c r="AO93" s="65"/>
      <c r="AP93" s="65"/>
      <c r="AQ93" s="65"/>
      <c r="AR93" s="62"/>
    </row>
    <row r="94" spans="22:44" x14ac:dyDescent="0.25">
      <c r="V94" s="62"/>
      <c r="W94" s="62"/>
      <c r="X94" s="65"/>
      <c r="Y94" s="62">
        <v>7</v>
      </c>
      <c r="AB94" s="62"/>
      <c r="AC94" s="62"/>
      <c r="AD94" s="62"/>
      <c r="AE94" s="62"/>
      <c r="AF94" s="62"/>
      <c r="AG94" s="62"/>
      <c r="AH94" s="65"/>
      <c r="AI94" s="62">
        <v>7</v>
      </c>
      <c r="AL94" s="62"/>
      <c r="AM94" s="62"/>
      <c r="AN94" s="62"/>
      <c r="AO94" s="62"/>
      <c r="AP94" s="62"/>
      <c r="AQ94" s="62"/>
      <c r="AR94" s="62"/>
    </row>
    <row r="95" spans="22:44" x14ac:dyDescent="0.25">
      <c r="V95" s="62"/>
      <c r="W95" s="62"/>
      <c r="X95" s="65"/>
      <c r="Y95" s="62">
        <v>8</v>
      </c>
      <c r="AB95" s="62"/>
      <c r="AC95" s="62"/>
      <c r="AD95" s="62"/>
      <c r="AE95" s="62"/>
      <c r="AF95" s="62"/>
      <c r="AG95" s="62"/>
      <c r="AH95" s="65"/>
      <c r="AI95" s="62">
        <v>8</v>
      </c>
      <c r="AL95" s="62"/>
      <c r="AM95" s="62"/>
      <c r="AN95" s="62"/>
      <c r="AO95" s="62"/>
      <c r="AP95" s="62"/>
      <c r="AQ95" s="62"/>
      <c r="AR95" s="62"/>
    </row>
    <row r="96" spans="22:44" x14ac:dyDescent="0.25">
      <c r="V96" s="62"/>
      <c r="W96" s="62"/>
      <c r="X96" s="65"/>
      <c r="Y96" s="62">
        <v>9</v>
      </c>
      <c r="AC96" s="62"/>
      <c r="AD96" s="62"/>
      <c r="AE96" s="62"/>
      <c r="AF96" s="62"/>
      <c r="AG96" s="62"/>
      <c r="AH96" s="65"/>
      <c r="AI96" s="62">
        <v>9</v>
      </c>
      <c r="AJ96" t="s">
        <v>150</v>
      </c>
      <c r="AK96" t="s">
        <v>151</v>
      </c>
      <c r="AL96" t="s">
        <v>150</v>
      </c>
      <c r="AM96" s="62" t="s">
        <v>151</v>
      </c>
      <c r="AN96" s="62"/>
      <c r="AO96" s="62"/>
      <c r="AP96" s="62"/>
      <c r="AQ96" s="62"/>
      <c r="AR96" s="62"/>
    </row>
    <row r="97" spans="22:44" x14ac:dyDescent="0.25">
      <c r="V97" s="62"/>
      <c r="W97" s="62"/>
      <c r="X97" s="65"/>
      <c r="Y97" s="62">
        <v>10</v>
      </c>
      <c r="AC97" s="62" t="s">
        <v>37</v>
      </c>
      <c r="AD97" s="62"/>
      <c r="AE97" s="62"/>
      <c r="AF97" s="62"/>
      <c r="AG97" s="62"/>
      <c r="AH97" s="65"/>
      <c r="AI97" s="62">
        <v>10</v>
      </c>
      <c r="AN97" s="62"/>
      <c r="AO97" s="62"/>
      <c r="AP97" s="62"/>
      <c r="AQ97" s="62"/>
      <c r="AR97" s="62"/>
    </row>
    <row r="98" spans="22:44" x14ac:dyDescent="0.25">
      <c r="V98" s="62"/>
      <c r="W98" s="62"/>
      <c r="X98" s="65"/>
      <c r="Y98" s="62">
        <v>11</v>
      </c>
      <c r="Z98" t="s">
        <v>155</v>
      </c>
      <c r="AA98" t="s">
        <v>51</v>
      </c>
      <c r="AB98" s="62" t="s">
        <v>50</v>
      </c>
      <c r="AC98" s="62" t="s">
        <v>55</v>
      </c>
      <c r="AD98" s="62"/>
      <c r="AE98" s="62" t="s">
        <v>149</v>
      </c>
      <c r="AF98" s="62" t="s">
        <v>148</v>
      </c>
      <c r="AG98" s="62"/>
      <c r="AH98" s="65"/>
      <c r="AI98" s="62">
        <v>11</v>
      </c>
      <c r="AJ98" t="s">
        <v>155</v>
      </c>
      <c r="AL98" s="62"/>
      <c r="AN98" s="62"/>
      <c r="AO98" s="62" t="s">
        <v>149</v>
      </c>
      <c r="AP98" s="62" t="s">
        <v>148</v>
      </c>
      <c r="AQ98" s="62"/>
      <c r="AR98" s="62" t="s">
        <v>149</v>
      </c>
    </row>
    <row r="99" spans="22:44" x14ac:dyDescent="0.25">
      <c r="V99" s="62"/>
      <c r="W99" s="62"/>
      <c r="X99" s="65"/>
      <c r="Y99" s="62">
        <v>12</v>
      </c>
      <c r="Z99" t="s">
        <v>154</v>
      </c>
      <c r="AA99" t="s">
        <v>53</v>
      </c>
      <c r="AB99" s="62" t="s">
        <v>54</v>
      </c>
      <c r="AD99" s="62"/>
      <c r="AE99" s="62"/>
      <c r="AF99" s="62"/>
      <c r="AG99" s="62" t="s">
        <v>147</v>
      </c>
      <c r="AH99" s="62"/>
      <c r="AI99" s="62">
        <v>12</v>
      </c>
      <c r="AJ99" s="8" t="s">
        <v>158</v>
      </c>
      <c r="AK99" s="8" t="s">
        <v>51</v>
      </c>
      <c r="AL99" s="91"/>
      <c r="AM99" s="8"/>
      <c r="AN99" s="91"/>
      <c r="AO99" s="62"/>
      <c r="AP99" s="62"/>
      <c r="AQ99" s="62" t="s">
        <v>147</v>
      </c>
      <c r="AR99" s="62"/>
    </row>
    <row r="100" spans="22:44" x14ac:dyDescent="0.25">
      <c r="V100" s="62"/>
      <c r="W100" s="62"/>
      <c r="X100" s="65"/>
      <c r="Y100" s="62">
        <v>13</v>
      </c>
      <c r="AB100" s="62"/>
      <c r="AC100" s="62"/>
      <c r="AD100" s="62"/>
      <c r="AE100" s="62" t="s">
        <v>150</v>
      </c>
      <c r="AF100" s="62" t="s">
        <v>146</v>
      </c>
      <c r="AG100" s="62">
        <v>13</v>
      </c>
      <c r="AH100" s="65"/>
      <c r="AI100" s="62">
        <v>13</v>
      </c>
      <c r="AJ100" s="2"/>
      <c r="AK100" s="2" t="s">
        <v>53</v>
      </c>
      <c r="AL100" s="2" t="s">
        <v>156</v>
      </c>
      <c r="AM100" s="90"/>
      <c r="AN100" s="90"/>
      <c r="AO100" s="91" t="s">
        <v>150</v>
      </c>
      <c r="AP100" s="62" t="s">
        <v>146</v>
      </c>
      <c r="AQ100" s="62">
        <v>13</v>
      </c>
      <c r="AR100" s="62"/>
    </row>
    <row r="101" spans="22:44" x14ac:dyDescent="0.25">
      <c r="V101" s="62"/>
      <c r="W101" s="62"/>
      <c r="X101" s="65"/>
      <c r="Y101" s="62">
        <v>14</v>
      </c>
      <c r="AB101" s="62"/>
      <c r="AC101" s="62"/>
      <c r="AD101" s="62"/>
      <c r="AE101" s="62" t="s">
        <v>151</v>
      </c>
      <c r="AF101" s="62" t="s">
        <v>143</v>
      </c>
      <c r="AG101" s="62">
        <v>14</v>
      </c>
      <c r="AH101" s="65"/>
      <c r="AI101" s="62">
        <v>14</v>
      </c>
      <c r="AJ101" s="19"/>
      <c r="AK101" s="19"/>
      <c r="AL101" s="85" t="s">
        <v>157</v>
      </c>
      <c r="AM101" s="85" t="s">
        <v>37</v>
      </c>
      <c r="AN101" s="85"/>
      <c r="AO101" s="90" t="s">
        <v>151</v>
      </c>
      <c r="AP101" s="62" t="s">
        <v>143</v>
      </c>
      <c r="AQ101" s="62">
        <v>14</v>
      </c>
      <c r="AR101" s="62" t="s">
        <v>159</v>
      </c>
    </row>
    <row r="102" spans="22:44" x14ac:dyDescent="0.25">
      <c r="V102" s="62"/>
      <c r="W102" s="62"/>
      <c r="X102" s="65"/>
      <c r="Y102" s="62">
        <v>15</v>
      </c>
      <c r="AB102" s="62"/>
      <c r="AC102" s="62"/>
      <c r="AD102" s="62"/>
      <c r="AE102" s="62" t="s">
        <v>152</v>
      </c>
      <c r="AF102" s="62" t="s">
        <v>144</v>
      </c>
      <c r="AG102" s="62">
        <v>15</v>
      </c>
      <c r="AH102" s="65"/>
      <c r="AI102" s="62">
        <v>15</v>
      </c>
      <c r="AJ102" s="23"/>
      <c r="AK102" s="23"/>
      <c r="AL102" s="89"/>
      <c r="AM102" s="89" t="s">
        <v>55</v>
      </c>
      <c r="AN102" s="89"/>
      <c r="AO102" s="85" t="s">
        <v>152</v>
      </c>
      <c r="AP102" s="62" t="s">
        <v>144</v>
      </c>
      <c r="AQ102" s="62">
        <v>15</v>
      </c>
      <c r="AR102" s="62" t="s">
        <v>160</v>
      </c>
    </row>
    <row r="103" spans="22:44" x14ac:dyDescent="0.25">
      <c r="V103" s="62"/>
      <c r="W103" s="62"/>
      <c r="X103" s="65"/>
      <c r="Y103" s="62">
        <v>16</v>
      </c>
      <c r="AB103" s="62"/>
      <c r="AC103" s="62"/>
      <c r="AD103" s="62"/>
      <c r="AE103" s="62" t="s">
        <v>153</v>
      </c>
      <c r="AF103" s="62" t="s">
        <v>145</v>
      </c>
      <c r="AG103" s="62">
        <v>16</v>
      </c>
      <c r="AH103" s="87"/>
      <c r="AI103" s="62">
        <v>16</v>
      </c>
      <c r="AL103" s="62"/>
      <c r="AM103" s="62"/>
      <c r="AN103" s="62"/>
      <c r="AO103" s="89" t="s">
        <v>153</v>
      </c>
      <c r="AP103" s="62" t="s">
        <v>145</v>
      </c>
      <c r="AQ103" s="62">
        <v>16</v>
      </c>
      <c r="AR103" s="62" t="s">
        <v>161</v>
      </c>
    </row>
    <row r="104" spans="22:44" x14ac:dyDescent="0.25">
      <c r="V104" s="62"/>
      <c r="W104" s="62"/>
      <c r="X104" s="65"/>
      <c r="Y104" s="65"/>
      <c r="Z104" s="62"/>
      <c r="AA104" s="62"/>
      <c r="AB104" s="62"/>
      <c r="AC104" s="62"/>
      <c r="AD104" s="62"/>
      <c r="AE104" s="65"/>
      <c r="AF104" s="65"/>
      <c r="AG104" s="62"/>
      <c r="AH104" s="62"/>
      <c r="AI104" s="65"/>
      <c r="AJ104" s="65"/>
      <c r="AK104" s="65"/>
      <c r="AL104" s="65"/>
      <c r="AM104" s="65"/>
      <c r="AN104" s="65"/>
      <c r="AO104" s="65"/>
      <c r="AP104" s="86"/>
      <c r="AQ104" s="62"/>
      <c r="AR104" s="62" t="s">
        <v>162</v>
      </c>
    </row>
    <row r="105" spans="22:44" x14ac:dyDescent="0.25">
      <c r="V105" s="62"/>
      <c r="W105" s="62"/>
      <c r="X105" s="88"/>
      <c r="Y105" s="65"/>
      <c r="Z105" s="65"/>
      <c r="AA105" s="62"/>
      <c r="AB105" s="62"/>
      <c r="AC105" s="62"/>
      <c r="AD105" s="62"/>
      <c r="AE105" s="65"/>
      <c r="AF105" s="65"/>
      <c r="AG105" s="62"/>
      <c r="AH105" s="62"/>
      <c r="AI105" s="65"/>
      <c r="AJ105" s="65"/>
      <c r="AK105" s="65"/>
      <c r="AL105" s="65"/>
      <c r="AM105" s="65"/>
      <c r="AN105" s="65"/>
      <c r="AO105" s="65"/>
      <c r="AP105" s="65"/>
      <c r="AQ105" s="62"/>
      <c r="AR105" s="62"/>
    </row>
    <row r="106" spans="22:44" x14ac:dyDescent="0.25">
      <c r="V106" s="62"/>
      <c r="W106" s="62"/>
      <c r="X106" s="65"/>
      <c r="Y106" s="88"/>
      <c r="Z106" s="65"/>
      <c r="AA106" s="65"/>
      <c r="AB106" s="62"/>
      <c r="AC106" s="62"/>
      <c r="AD106" s="62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86"/>
      <c r="AQ106" s="62"/>
      <c r="AR106" s="62"/>
    </row>
    <row r="107" spans="22:44" x14ac:dyDescent="0.25">
      <c r="V107" s="62"/>
      <c r="W107" s="62"/>
      <c r="X107" s="88"/>
      <c r="Y107" s="65"/>
      <c r="Z107" s="65"/>
      <c r="AA107" s="65"/>
      <c r="AB107" s="62"/>
      <c r="AC107" s="88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86"/>
      <c r="AQ107" s="62"/>
      <c r="AR107" s="62"/>
    </row>
    <row r="108" spans="22:44" x14ac:dyDescent="0.25">
      <c r="V108" s="62"/>
      <c r="W108" s="62"/>
      <c r="X108" s="65"/>
      <c r="Y108" s="88"/>
      <c r="Z108" s="88"/>
      <c r="AA108" s="88"/>
      <c r="AB108" s="62"/>
      <c r="AC108" s="88"/>
      <c r="AD108" s="88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86"/>
      <c r="AQ108" s="62"/>
      <c r="AR108" s="62"/>
    </row>
    <row r="109" spans="22:44" x14ac:dyDescent="0.25">
      <c r="V109" s="62"/>
      <c r="W109" s="62"/>
      <c r="X109" s="88"/>
      <c r="Y109" s="65"/>
      <c r="Z109" s="65"/>
      <c r="AA109" s="65"/>
      <c r="AB109" s="62"/>
      <c r="AC109" s="65"/>
      <c r="AD109" s="88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2"/>
      <c r="AR109" s="62"/>
    </row>
    <row r="110" spans="22:44" x14ac:dyDescent="0.25">
      <c r="V110" s="62"/>
      <c r="W110" s="62"/>
      <c r="X110" s="65"/>
      <c r="Y110" s="65"/>
      <c r="Z110" s="88"/>
      <c r="AA110" s="88"/>
      <c r="AB110" s="62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86"/>
      <c r="AQ110" s="62"/>
      <c r="AR110" s="62"/>
    </row>
    <row r="111" spans="22:44" x14ac:dyDescent="0.25">
      <c r="V111" s="62"/>
      <c r="W111" s="62"/>
      <c r="X111" s="65"/>
      <c r="Y111" s="65"/>
      <c r="Z111" s="65"/>
      <c r="AA111" s="65"/>
      <c r="AB111" s="62"/>
      <c r="AC111" s="65"/>
      <c r="AD111" s="65"/>
      <c r="AE111" s="65"/>
      <c r="AF111" s="62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2"/>
      <c r="AR111" s="62"/>
    </row>
    <row r="112" spans="22:44" x14ac:dyDescent="0.25">
      <c r="V112" s="62"/>
      <c r="W112" s="62"/>
      <c r="X112" s="65"/>
      <c r="Y112" s="88"/>
      <c r="Z112" s="88"/>
      <c r="AA112" s="88"/>
      <c r="AB112" s="62"/>
      <c r="AC112" s="65"/>
      <c r="AD112" s="65"/>
      <c r="AE112" s="65"/>
      <c r="AF112" s="62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2"/>
      <c r="AR112" s="62"/>
    </row>
    <row r="113" spans="22:44" x14ac:dyDescent="0.25">
      <c r="V113" s="62"/>
      <c r="W113" s="62"/>
      <c r="X113" s="65"/>
      <c r="Y113" s="65"/>
      <c r="Z113" s="62"/>
      <c r="AA113" s="62"/>
      <c r="AB113" s="62"/>
      <c r="AC113" s="88"/>
      <c r="AD113" s="65"/>
      <c r="AE113" s="65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</row>
    <row r="114" spans="22:44" x14ac:dyDescent="0.25">
      <c r="V114" s="62"/>
      <c r="W114" s="62"/>
      <c r="X114" s="65"/>
      <c r="Y114" s="65"/>
      <c r="Z114" s="62"/>
      <c r="AA114" s="62"/>
      <c r="AB114" s="62"/>
      <c r="AC114" s="88"/>
      <c r="AD114" s="88"/>
      <c r="AE114" s="65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</row>
    <row r="115" spans="22:44" x14ac:dyDescent="0.25">
      <c r="V115" s="62"/>
      <c r="W115" s="62"/>
      <c r="X115" s="65"/>
      <c r="Y115" s="65"/>
      <c r="Z115" s="62"/>
      <c r="AA115" s="62"/>
      <c r="AB115" s="62"/>
      <c r="AC115" s="65"/>
      <c r="AD115" s="88"/>
      <c r="AE115" s="65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</row>
    <row r="116" spans="22:44" x14ac:dyDescent="0.25"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</row>
    <row r="117" spans="22:44" x14ac:dyDescent="0.25"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</row>
    <row r="118" spans="22:44" x14ac:dyDescent="0.25"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</row>
    <row r="119" spans="22:44" x14ac:dyDescent="0.25"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</row>
    <row r="120" spans="22:44" x14ac:dyDescent="0.25"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</row>
    <row r="121" spans="22:44" x14ac:dyDescent="0.25"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</row>
    <row r="122" spans="22:44" x14ac:dyDescent="0.25"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</row>
    <row r="123" spans="22:44" x14ac:dyDescent="0.25"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</row>
    <row r="124" spans="22:44" x14ac:dyDescent="0.25"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</row>
    <row r="125" spans="22:44" x14ac:dyDescent="0.25"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</row>
    <row r="126" spans="22:44" x14ac:dyDescent="0.25"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</row>
    <row r="127" spans="22:44" x14ac:dyDescent="0.25"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</row>
    <row r="128" spans="22:44" x14ac:dyDescent="0.25"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</row>
    <row r="129" spans="22:44" x14ac:dyDescent="0.25"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</row>
    <row r="130" spans="22:44" x14ac:dyDescent="0.25"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</row>
    <row r="131" spans="22:44" x14ac:dyDescent="0.25"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</row>
    <row r="132" spans="22:44" x14ac:dyDescent="0.25"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</row>
    <row r="133" spans="22:44" x14ac:dyDescent="0.25"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</row>
    <row r="134" spans="22:44" x14ac:dyDescent="0.25"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</row>
    <row r="135" spans="22:44" x14ac:dyDescent="0.25"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</row>
    <row r="136" spans="22:44" x14ac:dyDescent="0.25"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</row>
    <row r="137" spans="22:44" x14ac:dyDescent="0.25"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</row>
    <row r="138" spans="22:44" x14ac:dyDescent="0.25"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</row>
    <row r="139" spans="22:44" x14ac:dyDescent="0.25"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</row>
    <row r="140" spans="22:44" x14ac:dyDescent="0.25"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</row>
    <row r="141" spans="22:44" x14ac:dyDescent="0.25"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</row>
    <row r="142" spans="22:44" x14ac:dyDescent="0.25"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</row>
    <row r="143" spans="22:44" x14ac:dyDescent="0.25"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</row>
    <row r="144" spans="22:44" x14ac:dyDescent="0.25"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</row>
    <row r="145" spans="22:44" x14ac:dyDescent="0.25"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</row>
    <row r="146" spans="22:44" x14ac:dyDescent="0.25"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</row>
    <row r="147" spans="22:44" x14ac:dyDescent="0.25"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</row>
    <row r="148" spans="22:44" x14ac:dyDescent="0.25"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</row>
    <row r="149" spans="22:44" x14ac:dyDescent="0.25"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</row>
    <row r="150" spans="22:44" x14ac:dyDescent="0.25"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</row>
    <row r="151" spans="22:44" x14ac:dyDescent="0.25"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</row>
    <row r="152" spans="22:44" x14ac:dyDescent="0.25"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</row>
    <row r="153" spans="22:44" x14ac:dyDescent="0.25"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</row>
    <row r="154" spans="22:44" x14ac:dyDescent="0.25"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</row>
    <row r="155" spans="22:44" x14ac:dyDescent="0.25"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</row>
    <row r="156" spans="22:44" x14ac:dyDescent="0.25"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</row>
    <row r="157" spans="22:44" x14ac:dyDescent="0.25"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</row>
    <row r="158" spans="22:44" x14ac:dyDescent="0.25"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</row>
    <row r="159" spans="22:44" x14ac:dyDescent="0.25"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</row>
    <row r="160" spans="22:44" x14ac:dyDescent="0.25"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</row>
    <row r="161" spans="22:44" x14ac:dyDescent="0.25"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</row>
    <row r="162" spans="22:44" x14ac:dyDescent="0.25"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</row>
    <row r="163" spans="22:44" x14ac:dyDescent="0.25"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</row>
    <row r="164" spans="22:44" x14ac:dyDescent="0.25"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</row>
    <row r="165" spans="22:44" x14ac:dyDescent="0.25"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</row>
    <row r="166" spans="22:44" x14ac:dyDescent="0.25"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</row>
    <row r="167" spans="22:44" x14ac:dyDescent="0.25"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工作表1</vt:lpstr>
      <vt:lpstr>工作表2</vt:lpstr>
      <vt:lpstr>only det3</vt:lpstr>
      <vt:lpstr>only det4</vt:lpstr>
      <vt:lpstr>det2 test</vt:lpstr>
      <vt:lpstr>det3 test</vt:lpstr>
      <vt:lpstr>det4 test</vt:lpstr>
      <vt:lpstr>Performance</vt:lpstr>
      <vt:lpstr>v2 cycle</vt:lpstr>
      <vt:lpstr>det3 test v2</vt:lpstr>
      <vt:lpstr>det4 test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2024-10-20T18:24:31Z</dcterms:modified>
</cp:coreProperties>
</file>