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NYCU\113_1\IC LAB\Lab05\"/>
    </mc:Choice>
  </mc:AlternateContent>
  <xr:revisionPtr revIDLastSave="0" documentId="13_ncr:1_{4F022C94-6A07-4B71-855F-977C0859F0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E10" i="1"/>
  <c r="E11" i="1"/>
  <c r="I11" i="1" s="1"/>
  <c r="E12" i="1"/>
  <c r="E13" i="1"/>
  <c r="E14" i="1"/>
  <c r="E15" i="1"/>
  <c r="E16" i="1"/>
  <c r="M16" i="1" s="1"/>
  <c r="E17" i="1"/>
  <c r="E18" i="1"/>
  <c r="E19" i="1"/>
  <c r="E20" i="1"/>
  <c r="E21" i="1"/>
  <c r="E22" i="1"/>
  <c r="E23" i="1"/>
  <c r="E9" i="1"/>
  <c r="N16" i="1"/>
  <c r="L16" i="1"/>
  <c r="N3" i="1"/>
  <c r="N4" i="1"/>
  <c r="N5" i="1"/>
  <c r="N6" i="1"/>
  <c r="N7" i="1"/>
  <c r="N8" i="1"/>
  <c r="N13" i="1"/>
  <c r="N14" i="1"/>
  <c r="N15" i="1"/>
  <c r="N2" i="1"/>
  <c r="E6" i="1"/>
  <c r="E7" i="1"/>
  <c r="M3" i="1"/>
  <c r="L4" i="1"/>
  <c r="L5" i="1"/>
  <c r="L6" i="1"/>
  <c r="L7" i="1"/>
  <c r="L8" i="1"/>
  <c r="L13" i="1"/>
  <c r="L14" i="1"/>
  <c r="L15" i="1"/>
  <c r="H4" i="1"/>
  <c r="H5" i="1"/>
  <c r="H6" i="1"/>
  <c r="H7" i="1"/>
  <c r="H8" i="1"/>
  <c r="L3" i="1"/>
  <c r="H3" i="1"/>
  <c r="I3" i="1" s="1"/>
  <c r="E4" i="1"/>
  <c r="E5" i="1"/>
  <c r="M5" i="1" s="1"/>
  <c r="E8" i="1"/>
  <c r="E3" i="1"/>
  <c r="I12" i="1" l="1"/>
  <c r="M8" i="1"/>
  <c r="M14" i="1"/>
  <c r="M13" i="1"/>
  <c r="I6" i="1"/>
  <c r="M6" i="1"/>
  <c r="I7" i="1"/>
  <c r="I8" i="1"/>
  <c r="M7" i="1"/>
  <c r="I4" i="1"/>
  <c r="M4" i="1"/>
  <c r="M15" i="1"/>
  <c r="I5" i="1"/>
</calcChain>
</file>

<file path=xl/sharedStrings.xml><?xml version="1.0" encoding="utf-8"?>
<sst xmlns="http://schemas.openxmlformats.org/spreadsheetml/2006/main" count="17" uniqueCount="12">
  <si>
    <t>v1</t>
    <phoneticPr fontId="1" type="noConversion"/>
  </si>
  <si>
    <t>area</t>
    <phoneticPr fontId="1" type="noConversion"/>
  </si>
  <si>
    <t>cycle time</t>
    <phoneticPr fontId="1" type="noConversion"/>
  </si>
  <si>
    <t>latency</t>
    <phoneticPr fontId="1" type="noConversion"/>
  </si>
  <si>
    <t>Performency</t>
    <phoneticPr fontId="1" type="noConversion"/>
  </si>
  <si>
    <t>學長</t>
    <phoneticPr fontId="1" type="noConversion"/>
  </si>
  <si>
    <t>信寬</t>
    <phoneticPr fontId="1" type="noConversion"/>
  </si>
  <si>
    <t>Avg lat</t>
    <phoneticPr fontId="1" type="noConversion"/>
  </si>
  <si>
    <t>pat num</t>
    <phoneticPr fontId="1" type="noConversion"/>
  </si>
  <si>
    <t>Area check</t>
    <phoneticPr fontId="1" type="noConversion"/>
  </si>
  <si>
    <t>ori</t>
    <phoneticPr fontId="1" type="noConversion"/>
  </si>
  <si>
    <t>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</si>
</sst>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zoomScale="145" zoomScaleNormal="145" workbookViewId="0">
      <selection activeCell="C7" sqref="C7"/>
    </sheetView>
  </sheetViews>
  <sheetFormatPr defaultRowHeight="15" x14ac:dyDescent="0.3"/>
  <cols>
    <col min="1" max="1" width="4.875" customWidth="1"/>
    <col min="2" max="2" width="7.625" customWidth="1"/>
    <col min="3" max="3" width="10.625" bestFit="1" customWidth="1"/>
    <col min="4" max="4" width="13.5" bestFit="1" customWidth="1"/>
    <col min="5" max="5" width="13.75" bestFit="1" customWidth="1"/>
    <col min="6" max="6" width="12.75" bestFit="1" customWidth="1"/>
    <col min="7" max="7" width="13.75" bestFit="1" customWidth="1"/>
    <col min="8" max="8" width="10" bestFit="1" customWidth="1"/>
    <col min="9" max="9" width="13.75" bestFit="1" customWidth="1"/>
    <col min="10" max="10" width="11.875" customWidth="1"/>
    <col min="13" max="13" width="13.75" bestFit="1" customWidth="1"/>
    <col min="14" max="14" width="11.5" bestFit="1" customWidth="1"/>
  </cols>
  <sheetData>
    <row r="1" spans="1:14" x14ac:dyDescent="0.3">
      <c r="F1" s="2" t="s">
        <v>5</v>
      </c>
      <c r="J1" t="s">
        <v>6</v>
      </c>
      <c r="N1" t="s">
        <v>9</v>
      </c>
    </row>
    <row r="2" spans="1:14" x14ac:dyDescent="0.3">
      <c r="A2" s="1"/>
      <c r="B2" s="1"/>
      <c r="C2" s="1" t="s">
        <v>2</v>
      </c>
      <c r="D2" s="1" t="s">
        <v>1</v>
      </c>
      <c r="E2" s="1" t="s">
        <v>4</v>
      </c>
      <c r="F2" s="2" t="s">
        <v>3</v>
      </c>
      <c r="G2" s="1" t="s">
        <v>8</v>
      </c>
      <c r="H2" s="1" t="s">
        <v>7</v>
      </c>
      <c r="I2" s="3" t="s">
        <v>4</v>
      </c>
      <c r="J2" s="2" t="s">
        <v>3</v>
      </c>
      <c r="K2" s="1" t="s">
        <v>8</v>
      </c>
      <c r="L2" s="1" t="s">
        <v>7</v>
      </c>
      <c r="M2" s="1" t="s">
        <v>4</v>
      </c>
      <c r="N2" t="b">
        <f>D3&lt;1500000</f>
        <v>1</v>
      </c>
    </row>
    <row r="3" spans="1:14" x14ac:dyDescent="0.3">
      <c r="A3" s="1"/>
      <c r="B3" s="1" t="s">
        <v>10</v>
      </c>
      <c r="C3" s="1">
        <v>20</v>
      </c>
      <c r="D3" s="1">
        <v>704017.71821099997</v>
      </c>
      <c r="E3" s="1">
        <f>C3*D3*D3</f>
        <v>9912818951100.459</v>
      </c>
      <c r="F3" s="1">
        <v>60758</v>
      </c>
      <c r="G3" s="1">
        <v>50</v>
      </c>
      <c r="H3">
        <f>F3/G3</f>
        <v>1215.1600000000001</v>
      </c>
      <c r="I3" s="4">
        <f>H3*E3</f>
        <v>1.2045661076619234E+16</v>
      </c>
      <c r="J3" s="1">
        <v>10627243</v>
      </c>
      <c r="K3" s="1">
        <v>10000</v>
      </c>
      <c r="L3">
        <f>J3/K3</f>
        <v>1062.7243000000001</v>
      </c>
      <c r="M3">
        <f>E3*L3</f>
        <v>1.053459358083497E+16</v>
      </c>
      <c r="N3" t="b">
        <f t="shared" ref="N3:N12" si="0">D4&lt;1500000</f>
        <v>1</v>
      </c>
    </row>
    <row r="4" spans="1:14" x14ac:dyDescent="0.3">
      <c r="A4" s="1"/>
      <c r="B4" s="1" t="s">
        <v>0</v>
      </c>
      <c r="C4" s="1">
        <v>10</v>
      </c>
      <c r="D4" s="1">
        <v>736974.98465600004</v>
      </c>
      <c r="E4" s="1">
        <f t="shared" ref="E4:E23" si="1">C4*D4*D4</f>
        <v>5431321280087.1152</v>
      </c>
      <c r="F4" s="1">
        <v>60758</v>
      </c>
      <c r="G4" s="1">
        <v>50</v>
      </c>
      <c r="H4">
        <f t="shared" ref="H4:H26" si="2">F4/G4</f>
        <v>1215.1600000000001</v>
      </c>
      <c r="I4" s="4">
        <f t="shared" ref="I4:I28" si="3">H4*E4</f>
        <v>6599924366710659</v>
      </c>
      <c r="J4" s="1">
        <v>10627243</v>
      </c>
      <c r="K4" s="1">
        <v>10000</v>
      </c>
      <c r="L4">
        <f t="shared" ref="L4:L12" si="4">J4/K4</f>
        <v>1062.7243000000001</v>
      </c>
      <c r="M4">
        <f t="shared" ref="M4:M12" si="5">E4*L4</f>
        <v>5771997105455684</v>
      </c>
      <c r="N4" t="b">
        <f t="shared" si="0"/>
        <v>1</v>
      </c>
    </row>
    <row r="5" spans="1:14" x14ac:dyDescent="0.3">
      <c r="B5" s="1"/>
      <c r="C5" s="1">
        <v>9</v>
      </c>
      <c r="D5">
        <v>753433.30607199995</v>
      </c>
      <c r="E5" s="1">
        <f t="shared" si="1"/>
        <v>5108955720287.2559</v>
      </c>
      <c r="F5" s="1">
        <v>60758</v>
      </c>
      <c r="G5" s="1">
        <v>50</v>
      </c>
      <c r="H5">
        <f t="shared" si="2"/>
        <v>1215.1600000000001</v>
      </c>
      <c r="I5" s="4">
        <f t="shared" si="3"/>
        <v>6208198633064262</v>
      </c>
      <c r="J5" s="1">
        <v>10627243</v>
      </c>
      <c r="K5" s="1">
        <v>10000</v>
      </c>
      <c r="L5">
        <f t="shared" si="4"/>
        <v>1062.7243000000001</v>
      </c>
      <c r="M5">
        <f t="shared" si="5"/>
        <v>5429411391573270</v>
      </c>
      <c r="N5" t="b">
        <f t="shared" si="0"/>
        <v>1</v>
      </c>
    </row>
    <row r="6" spans="1:14" x14ac:dyDescent="0.3">
      <c r="C6" s="1">
        <v>8</v>
      </c>
      <c r="D6">
        <v>771738.38452099997</v>
      </c>
      <c r="E6" s="1">
        <f t="shared" si="1"/>
        <v>4764641073144.6621</v>
      </c>
      <c r="F6" s="1">
        <v>60758</v>
      </c>
      <c r="G6" s="1">
        <v>50</v>
      </c>
      <c r="H6">
        <f t="shared" si="2"/>
        <v>1215.1600000000001</v>
      </c>
      <c r="I6" s="4">
        <f t="shared" si="3"/>
        <v>5789801246442468</v>
      </c>
      <c r="J6" s="1">
        <v>10627243</v>
      </c>
      <c r="K6" s="1">
        <v>10000</v>
      </c>
      <c r="L6">
        <f t="shared" si="4"/>
        <v>1062.7243000000001</v>
      </c>
      <c r="M6">
        <f t="shared" si="5"/>
        <v>5063499849208910</v>
      </c>
      <c r="N6" t="b">
        <f t="shared" si="0"/>
        <v>1</v>
      </c>
    </row>
    <row r="7" spans="1:14" x14ac:dyDescent="0.3">
      <c r="C7" s="1">
        <v>7.5</v>
      </c>
      <c r="D7">
        <v>784328.20385599998</v>
      </c>
      <c r="E7" s="1">
        <f t="shared" si="1"/>
        <v>4613780485229.8428</v>
      </c>
      <c r="F7" s="1">
        <v>60758</v>
      </c>
      <c r="G7" s="1">
        <v>50</v>
      </c>
      <c r="H7">
        <f t="shared" si="2"/>
        <v>1215.1600000000001</v>
      </c>
      <c r="I7" s="4">
        <f t="shared" si="3"/>
        <v>5606481494431896</v>
      </c>
      <c r="J7" s="1">
        <v>10627243</v>
      </c>
      <c r="K7" s="1">
        <v>10000</v>
      </c>
      <c r="L7">
        <f t="shared" si="4"/>
        <v>1062.7243000000001</v>
      </c>
      <c r="M7">
        <f t="shared" si="5"/>
        <v>4903176636519545</v>
      </c>
      <c r="N7" t="b">
        <f t="shared" si="0"/>
        <v>1</v>
      </c>
    </row>
    <row r="8" spans="1:14" x14ac:dyDescent="0.3">
      <c r="C8" s="1">
        <v>7</v>
      </c>
      <c r="D8">
        <v>831559.55547899997</v>
      </c>
      <c r="E8" s="1">
        <f t="shared" si="1"/>
        <v>4840439060159.0244</v>
      </c>
      <c r="F8" s="1">
        <v>60758</v>
      </c>
      <c r="G8" s="1">
        <v>50</v>
      </c>
      <c r="H8">
        <f t="shared" si="2"/>
        <v>1215.1600000000001</v>
      </c>
      <c r="I8" s="4">
        <f t="shared" si="3"/>
        <v>5881907928342841</v>
      </c>
      <c r="J8" s="1">
        <v>10627243</v>
      </c>
      <c r="K8" s="1">
        <v>10000</v>
      </c>
      <c r="L8">
        <f t="shared" si="4"/>
        <v>1062.7243000000001</v>
      </c>
      <c r="M8">
        <f t="shared" si="5"/>
        <v>5144052211900158</v>
      </c>
      <c r="N8" t="b">
        <f>D13&lt;1500000</f>
        <v>1</v>
      </c>
    </row>
    <row r="9" spans="1:14" x14ac:dyDescent="0.3">
      <c r="C9" s="1">
        <v>7.3</v>
      </c>
      <c r="D9">
        <v>797930.45813100005</v>
      </c>
      <c r="E9" s="1">
        <f t="shared" si="1"/>
        <v>4647859016895.9775</v>
      </c>
      <c r="F9" s="1">
        <v>60758</v>
      </c>
      <c r="G9" s="1">
        <v>50</v>
      </c>
      <c r="H9">
        <f t="shared" si="2"/>
        <v>1215.1600000000001</v>
      </c>
      <c r="I9" s="4">
        <f t="shared" si="3"/>
        <v>5647892362971316</v>
      </c>
    </row>
    <row r="10" spans="1:14" x14ac:dyDescent="0.3">
      <c r="C10" s="1">
        <v>7.7</v>
      </c>
      <c r="D10">
        <v>775975.613365</v>
      </c>
      <c r="E10" s="1">
        <f t="shared" si="1"/>
        <v>4636463774536.3477</v>
      </c>
      <c r="F10" s="1">
        <v>60758</v>
      </c>
      <c r="G10" s="1">
        <v>50</v>
      </c>
      <c r="H10">
        <f t="shared" si="2"/>
        <v>1215.1600000000001</v>
      </c>
      <c r="I10" s="4">
        <f t="shared" si="3"/>
        <v>5634045320265589</v>
      </c>
    </row>
    <row r="11" spans="1:14" x14ac:dyDescent="0.3">
      <c r="C11" s="1">
        <v>7.6</v>
      </c>
      <c r="D11">
        <v>781512.75897299999</v>
      </c>
      <c r="E11" s="1">
        <f t="shared" si="1"/>
        <v>4641792662525.6865</v>
      </c>
      <c r="F11" s="1">
        <v>60758</v>
      </c>
      <c r="G11" s="1">
        <v>50</v>
      </c>
      <c r="H11">
        <f t="shared" si="2"/>
        <v>1215.1600000000001</v>
      </c>
      <c r="I11" s="4">
        <f t="shared" si="3"/>
        <v>5640520771794714</v>
      </c>
    </row>
    <row r="12" spans="1:14" x14ac:dyDescent="0.3">
      <c r="C12" s="1">
        <v>7.4</v>
      </c>
      <c r="D12">
        <v>808017.312699</v>
      </c>
      <c r="E12" s="1">
        <f t="shared" si="1"/>
        <v>4831400634397.7207</v>
      </c>
      <c r="F12" s="1">
        <v>60758</v>
      </c>
      <c r="G12" s="1">
        <v>50</v>
      </c>
      <c r="H12">
        <f t="shared" si="2"/>
        <v>1215.1600000000001</v>
      </c>
      <c r="I12" s="4">
        <f t="shared" si="3"/>
        <v>5870924794894735</v>
      </c>
    </row>
    <row r="13" spans="1:14" x14ac:dyDescent="0.3">
      <c r="B13" s="1" t="s">
        <v>11</v>
      </c>
      <c r="C13" s="1">
        <v>9</v>
      </c>
      <c r="D13">
        <v>771738.38452099997</v>
      </c>
      <c r="E13" s="1">
        <f t="shared" si="1"/>
        <v>5360221207287.7451</v>
      </c>
      <c r="F13" s="1">
        <v>60602</v>
      </c>
      <c r="G13" s="1">
        <v>50</v>
      </c>
      <c r="H13">
        <f t="shared" si="2"/>
        <v>1212.04</v>
      </c>
      <c r="I13" s="4">
        <f t="shared" si="3"/>
        <v>6496802512081038</v>
      </c>
      <c r="J13" s="1">
        <v>10627243</v>
      </c>
      <c r="K13" s="1">
        <v>10000</v>
      </c>
      <c r="L13">
        <f>J13/K13</f>
        <v>1062.7243000000001</v>
      </c>
      <c r="M13">
        <f>E13*L13</f>
        <v>5696437330360024</v>
      </c>
      <c r="N13" t="b">
        <f>D14&lt;1500000</f>
        <v>1</v>
      </c>
    </row>
    <row r="14" spans="1:14" x14ac:dyDescent="0.3">
      <c r="C14" s="1">
        <v>8</v>
      </c>
      <c r="D14">
        <v>787171.77170499996</v>
      </c>
      <c r="E14" s="1">
        <f t="shared" si="1"/>
        <v>4957115185353.5088</v>
      </c>
      <c r="F14" s="1">
        <v>60602</v>
      </c>
      <c r="G14" s="1">
        <v>50</v>
      </c>
      <c r="H14">
        <f t="shared" si="2"/>
        <v>1212.04</v>
      </c>
      <c r="I14" s="4">
        <f t="shared" si="3"/>
        <v>6008221889255867</v>
      </c>
      <c r="J14" s="1">
        <v>10627243</v>
      </c>
      <c r="K14" s="1">
        <v>10000</v>
      </c>
      <c r="L14">
        <f>J14/K14</f>
        <v>1062.7243000000001</v>
      </c>
      <c r="M14">
        <f>E14*L14</f>
        <v>5268046765374178</v>
      </c>
      <c r="N14" t="b">
        <f>D15&lt;1500000</f>
        <v>1</v>
      </c>
    </row>
    <row r="15" spans="1:14" x14ac:dyDescent="0.3">
      <c r="C15" s="1">
        <v>7.5</v>
      </c>
      <c r="D15">
        <v>801980.19883200002</v>
      </c>
      <c r="E15" s="1">
        <f t="shared" si="1"/>
        <v>4823791794889.6074</v>
      </c>
      <c r="F15" s="1">
        <v>60602</v>
      </c>
      <c r="G15" s="1">
        <v>50</v>
      </c>
      <c r="H15">
        <f t="shared" si="2"/>
        <v>1212.04</v>
      </c>
      <c r="I15" s="4">
        <f t="shared" si="3"/>
        <v>5846628607078000</v>
      </c>
      <c r="J15" s="1">
        <v>10627243</v>
      </c>
      <c r="K15" s="1">
        <v>10000</v>
      </c>
      <c r="L15">
        <f>J15/K15</f>
        <v>1062.7243000000001</v>
      </c>
      <c r="M15">
        <f>E15*L15</f>
        <v>5126360758569802</v>
      </c>
      <c r="N15" t="b">
        <f>D16&lt;1500000</f>
        <v>1</v>
      </c>
    </row>
    <row r="16" spans="1:14" x14ac:dyDescent="0.3">
      <c r="C16" s="1">
        <v>7.3</v>
      </c>
      <c r="D16">
        <v>827997.28343199997</v>
      </c>
      <c r="E16" s="1">
        <f t="shared" si="1"/>
        <v>5004730360006.6328</v>
      </c>
      <c r="F16" s="1">
        <v>60602</v>
      </c>
      <c r="G16" s="1">
        <v>50</v>
      </c>
      <c r="H16">
        <f t="shared" si="2"/>
        <v>1212.04</v>
      </c>
      <c r="I16" s="4">
        <f t="shared" si="3"/>
        <v>6065933385542439</v>
      </c>
      <c r="J16" s="1">
        <v>10627243</v>
      </c>
      <c r="K16" s="1">
        <v>10000</v>
      </c>
      <c r="L16">
        <f>J16/K16</f>
        <v>1062.7243000000001</v>
      </c>
      <c r="M16">
        <f>E16*L16</f>
        <v>5318648568526797</v>
      </c>
      <c r="N16" t="e">
        <f>#REF!&lt;1500000</f>
        <v>#REF!</v>
      </c>
    </row>
    <row r="17" spans="3:9" x14ac:dyDescent="0.3">
      <c r="C17" s="1">
        <v>7.7</v>
      </c>
      <c r="D17">
        <v>798436.67564499995</v>
      </c>
      <c r="E17" s="1">
        <f t="shared" si="1"/>
        <v>4908758662615.7998</v>
      </c>
      <c r="F17" s="1">
        <v>60602</v>
      </c>
      <c r="G17" s="1">
        <v>50</v>
      </c>
      <c r="H17">
        <f t="shared" si="2"/>
        <v>1212.04</v>
      </c>
      <c r="I17" s="4">
        <f t="shared" si="3"/>
        <v>5949611849436854</v>
      </c>
    </row>
    <row r="18" spans="3:9" x14ac:dyDescent="0.3">
      <c r="E18" s="1">
        <f t="shared" si="1"/>
        <v>0</v>
      </c>
      <c r="F18" s="1">
        <v>60602</v>
      </c>
      <c r="G18" s="1">
        <v>50</v>
      </c>
      <c r="H18">
        <f t="shared" si="2"/>
        <v>1212.04</v>
      </c>
      <c r="I18" s="4">
        <f t="shared" si="3"/>
        <v>0</v>
      </c>
    </row>
    <row r="19" spans="3:9" x14ac:dyDescent="0.3">
      <c r="E19" s="1">
        <f t="shared" si="1"/>
        <v>0</v>
      </c>
      <c r="F19" s="1">
        <v>60602</v>
      </c>
      <c r="G19" s="1">
        <v>50</v>
      </c>
      <c r="H19">
        <f t="shared" si="2"/>
        <v>1212.04</v>
      </c>
      <c r="I19" s="4">
        <f t="shared" si="3"/>
        <v>0</v>
      </c>
    </row>
    <row r="20" spans="3:9" x14ac:dyDescent="0.3">
      <c r="E20" s="1">
        <f t="shared" si="1"/>
        <v>0</v>
      </c>
      <c r="F20" s="1">
        <v>60602</v>
      </c>
      <c r="G20" s="1">
        <v>50</v>
      </c>
      <c r="H20">
        <f t="shared" si="2"/>
        <v>1212.04</v>
      </c>
      <c r="I20" s="4">
        <f t="shared" si="3"/>
        <v>0</v>
      </c>
    </row>
    <row r="21" spans="3:9" x14ac:dyDescent="0.3">
      <c r="E21" s="1">
        <f t="shared" si="1"/>
        <v>0</v>
      </c>
      <c r="F21" s="1">
        <v>60602</v>
      </c>
      <c r="G21" s="1">
        <v>50</v>
      </c>
      <c r="H21">
        <f t="shared" si="2"/>
        <v>1212.04</v>
      </c>
      <c r="I21" s="4">
        <f t="shared" si="3"/>
        <v>0</v>
      </c>
    </row>
    <row r="22" spans="3:9" x14ac:dyDescent="0.3">
      <c r="E22" s="1">
        <f t="shared" si="1"/>
        <v>0</v>
      </c>
      <c r="F22" s="1">
        <v>60602</v>
      </c>
      <c r="G22" s="1">
        <v>50</v>
      </c>
      <c r="H22">
        <f t="shared" si="2"/>
        <v>1212.04</v>
      </c>
      <c r="I22" s="4">
        <f t="shared" si="3"/>
        <v>0</v>
      </c>
    </row>
    <row r="23" spans="3:9" x14ac:dyDescent="0.3">
      <c r="E23" s="1">
        <f t="shared" si="1"/>
        <v>0</v>
      </c>
      <c r="F23" s="1">
        <v>60602</v>
      </c>
      <c r="G23" s="1">
        <v>50</v>
      </c>
      <c r="H23">
        <f t="shared" si="2"/>
        <v>1212.04</v>
      </c>
      <c r="I23" s="4">
        <f t="shared" si="3"/>
        <v>0</v>
      </c>
    </row>
    <row r="24" spans="3:9" x14ac:dyDescent="0.3">
      <c r="F24" s="1">
        <v>60602</v>
      </c>
      <c r="G24" s="1">
        <v>50</v>
      </c>
      <c r="H24">
        <f t="shared" si="2"/>
        <v>1212.04</v>
      </c>
      <c r="I24" s="4">
        <f t="shared" si="3"/>
        <v>0</v>
      </c>
    </row>
    <row r="25" spans="3:9" x14ac:dyDescent="0.3">
      <c r="F25" s="1">
        <v>60602</v>
      </c>
      <c r="G25" s="1">
        <v>50</v>
      </c>
      <c r="H25">
        <f t="shared" si="2"/>
        <v>1212.04</v>
      </c>
      <c r="I25" s="4">
        <f t="shared" si="3"/>
        <v>0</v>
      </c>
    </row>
    <row r="26" spans="3:9" x14ac:dyDescent="0.3">
      <c r="F26" s="1">
        <v>60602</v>
      </c>
      <c r="G26" s="1">
        <v>50</v>
      </c>
      <c r="H26">
        <f t="shared" si="2"/>
        <v>1212.04</v>
      </c>
      <c r="I26" s="4">
        <f t="shared" si="3"/>
        <v>0</v>
      </c>
    </row>
    <row r="27" spans="3:9" x14ac:dyDescent="0.3">
      <c r="F27" s="1">
        <v>60602</v>
      </c>
      <c r="G27" s="1">
        <v>50</v>
      </c>
      <c r="I27" s="4">
        <f t="shared" si="3"/>
        <v>0</v>
      </c>
    </row>
    <row r="28" spans="3:9" x14ac:dyDescent="0.3">
      <c r="F28" s="1">
        <v>60602</v>
      </c>
      <c r="G28" s="1">
        <v>50</v>
      </c>
      <c r="I28" s="4">
        <f t="shared" si="3"/>
        <v>0</v>
      </c>
    </row>
    <row r="29" spans="3:9" x14ac:dyDescent="0.3">
      <c r="F29" s="1">
        <v>60602</v>
      </c>
      <c r="G29" s="1">
        <v>50</v>
      </c>
    </row>
    <row r="30" spans="3:9" x14ac:dyDescent="0.3">
      <c r="F30" s="1">
        <v>60602</v>
      </c>
      <c r="G30" s="1">
        <v>50</v>
      </c>
    </row>
    <row r="31" spans="3:9" x14ac:dyDescent="0.3">
      <c r="F31" s="1">
        <v>60602</v>
      </c>
      <c r="G31" s="1">
        <v>50</v>
      </c>
    </row>
    <row r="32" spans="3:9" x14ac:dyDescent="0.3">
      <c r="F32" s="1">
        <v>60602</v>
      </c>
      <c r="G32" s="1">
        <v>50</v>
      </c>
    </row>
    <row r="33" spans="6:7" x14ac:dyDescent="0.3">
      <c r="F33" s="1">
        <v>60602</v>
      </c>
      <c r="G33" s="1">
        <v>50</v>
      </c>
    </row>
    <row r="34" spans="6:7" x14ac:dyDescent="0.3">
      <c r="F34" s="1">
        <v>60602</v>
      </c>
      <c r="G34" s="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琦閎 邱</cp:lastModifiedBy>
  <dcterms:created xsi:type="dcterms:W3CDTF">2015-06-05T18:19:34Z</dcterms:created>
  <dcterms:modified xsi:type="dcterms:W3CDTF">2024-10-14T06:20:29Z</dcterms:modified>
</cp:coreProperties>
</file>